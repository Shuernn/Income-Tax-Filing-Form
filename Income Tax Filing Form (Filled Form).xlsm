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drawings/drawing2.xml" ContentType="application/vnd.openxmlformats-officedocument.drawing+xml"/>
  <Override PartName="/xl/activeX/activeX4.xml" ContentType="application/vnd.ms-office.activeX+xml"/>
  <Override PartName="/xl/activeX/activeX3.bin" ContentType="application/vnd.ms-office.activeX"/>
  <Override PartName="/xl/activeX/activeX5.xml" ContentType="application/vnd.ms-office.activeX+xml"/>
  <Override PartName="/xl/activeX/activeX4.bin" ContentType="application/vnd.ms-office.activeX"/>
  <Override PartName="/xl/activeX/activeX6.xml" ContentType="application/vnd.ms-office.activeX+xml"/>
  <Override PartName="/xl/activeX/activeX5.bin" ContentType="application/vnd.ms-office.activeX"/>
  <Override PartName="/xl/drawings/drawing3.xml" ContentType="application/vnd.openxmlformats-officedocument.drawing+xml"/>
  <Override PartName="/xl/activeX/activeX7.xml" ContentType="application/vnd.ms-office.activeX+xml"/>
  <Override PartName="/xl/activeX/activeX6.bin" ContentType="application/vnd.ms-office.activeX"/>
  <Override PartName="/xl/activeX/activeX8.xml" ContentType="application/vnd.ms-office.activeX+xml"/>
  <Override PartName="/xl/activeX/activeX7.bin" ContentType="application/vnd.ms-office.activeX"/>
  <Override PartName="/xl/activeX/activeX9.xml" ContentType="application/vnd.ms-office.activeX+xml"/>
  <Override PartName="/xl/activeX/activeX8.bin" ContentType="application/vnd.ms-office.activeX"/>
  <Override PartName="/xl/activeX/activeX10.xml" ContentType="application/vnd.ms-office.activeX+xml"/>
  <Override PartName="/xl/activeX/activeX9.bin" ContentType="application/vnd.ms-office.activeX"/>
  <Override PartName="/xl/drawings/drawing4.xml" ContentType="application/vnd.openxmlformats-officedocument.drawing+xml"/>
  <Override PartName="/xl/activeX/activeX11.xml" ContentType="application/vnd.ms-office.activeX+xml"/>
  <Override PartName="/xl/activeX/activeX10.bin" ContentType="application/vnd.ms-office.activeX"/>
  <Override PartName="/xl/activeX/activeX12.xml" ContentType="application/vnd.ms-office.activeX+xml"/>
  <Override PartName="/xl/activeX/activeX1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Dell\Desktop\"/>
    </mc:Choice>
  </mc:AlternateContent>
  <xr:revisionPtr revIDLastSave="0" documentId="13_ncr:1_{7838EC28-1459-42CB-9DF9-A1AB71C0FD2C}" xr6:coauthVersionLast="47" xr6:coauthVersionMax="47" xr10:uidLastSave="{00000000-0000-0000-0000-000000000000}"/>
  <bookViews>
    <workbookView xWindow="75" yWindow="105" windowWidth="20415" windowHeight="10815" xr2:uid="{BF359B3B-6803-428B-9AE9-F8394DE00851}"/>
  </bookViews>
  <sheets>
    <sheet name="Personal Information" sheetId="5" r:id="rId1"/>
    <sheet name="Statement Income" sheetId="6" state="hidden" r:id="rId2"/>
    <sheet name="TaxRelief" sheetId="3" state="hidden" r:id="rId3"/>
    <sheet name="Summary" sheetId="4" state="hidden"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62" i="3" l="1"/>
  <c r="D60" i="3"/>
  <c r="D58" i="3"/>
  <c r="D46" i="3"/>
  <c r="D14" i="3"/>
  <c r="D98" i="3"/>
  <c r="D96" i="3"/>
  <c r="D100" i="3" s="1"/>
  <c r="D90" i="3"/>
  <c r="D73" i="3"/>
  <c r="C14" i="6"/>
  <c r="C2" i="6"/>
  <c r="C6" i="6"/>
  <c r="C10" i="6"/>
  <c r="C4" i="6"/>
  <c r="D84" i="3"/>
  <c r="D82" i="3"/>
  <c r="D80" i="3"/>
  <c r="D55" i="3"/>
  <c r="D53" i="3"/>
  <c r="D50" i="3"/>
  <c r="D44" i="3"/>
  <c r="D42" i="3"/>
  <c r="D36" i="3"/>
  <c r="D32" i="3"/>
  <c r="D30" i="3"/>
  <c r="D28" i="3"/>
  <c r="D26" i="3"/>
  <c r="D67" i="3" l="1"/>
  <c r="D86" i="3"/>
  <c r="C8" i="6"/>
  <c r="C12" i="6" s="1"/>
  <c r="C16" i="6" s="1"/>
  <c r="D20" i="3"/>
  <c r="D94" i="3"/>
  <c r="D92" i="3"/>
  <c r="D6" i="3"/>
  <c r="D2" i="4" l="1"/>
  <c r="D12" i="3"/>
  <c r="D16" i="3" s="1"/>
  <c r="D103" i="3" l="1"/>
  <c r="D3" i="4" s="1"/>
  <c r="D5" i="4" s="1"/>
  <c r="D7" i="4" a="1"/>
  <c r="D7" i="4"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<sst xmlns="http://schemas.openxmlformats.org/spreadsheetml/2006/main" count="151" uniqueCount="120">
  <si>
    <t>Individual Particulars</t>
  </si>
  <si>
    <t>Name</t>
  </si>
  <si>
    <t>Income Tax No</t>
  </si>
  <si>
    <t>Citizen</t>
  </si>
  <si>
    <t>Gender</t>
  </si>
  <si>
    <t>Status as at 31-12-2020</t>
  </si>
  <si>
    <t>Type of assesment</t>
  </si>
  <si>
    <t>Handphone No. Register to LHDNM</t>
  </si>
  <si>
    <t>Employer's No</t>
  </si>
  <si>
    <t>Name of Bank</t>
  </si>
  <si>
    <t>Statement Income</t>
  </si>
  <si>
    <t>Statutory income from employment</t>
  </si>
  <si>
    <t>Statutory income from rents</t>
  </si>
  <si>
    <t>Statutory income from interest, discount, royalities, premiums, pensions, annuities, other periodical payments and other gains or profit</t>
  </si>
  <si>
    <t>Aggregate Income</t>
  </si>
  <si>
    <t>Approved investment under anget investor tax incentitve</t>
  </si>
  <si>
    <t xml:space="preserve">TOTAL  </t>
  </si>
  <si>
    <t>Less: approved donations / gifts / contributions</t>
  </si>
  <si>
    <t>TOTAL INCOME (SELF)</t>
  </si>
  <si>
    <t>Individual and dependent relatives</t>
  </si>
  <si>
    <t>Basic Supporting equipment for disabled self, spouse, child or parents</t>
  </si>
  <si>
    <t>Disabled individual</t>
  </si>
  <si>
    <t>Medical expenses on serious diseases for self, spouse or child</t>
  </si>
  <si>
    <t>Medical expenses on fertility treatment for self or spouse</t>
  </si>
  <si>
    <t>Complete medical examination for self, spouse or child</t>
  </si>
  <si>
    <t>Summary</t>
  </si>
  <si>
    <t>Total Income</t>
  </si>
  <si>
    <t>Less: Total Relief</t>
  </si>
  <si>
    <t>CHARGABLE INCOME</t>
  </si>
  <si>
    <t>Total Income Tax</t>
  </si>
  <si>
    <t>Child care fees to a registered child care centre / kindergarten for a child aged 6 years and below</t>
  </si>
  <si>
    <t>Husband / wife / payment of alimony to former wife</t>
  </si>
  <si>
    <t>Disabled husband / wife</t>
  </si>
  <si>
    <t>Deferred Annuity and Private Retirement Scheme (PRS)</t>
  </si>
  <si>
    <t>Contribution to the Social Security Organization (SOCSO)</t>
  </si>
  <si>
    <t>Payment for accommodation at premises registered with the Commissioner of Tourism and entrance fee to a tourist attraction</t>
  </si>
  <si>
    <t>OR</t>
  </si>
  <si>
    <t>Parent</t>
  </si>
  <si>
    <t>Medical treatment, special needs and carer expenses for parents</t>
  </si>
  <si>
    <t xml:space="preserve"> (Medical condition certified by medical practitioner)</t>
  </si>
  <si>
    <t>Lifestyle purchase for self, spouse or child in respect of:</t>
  </si>
  <si>
    <t>Lifestyle</t>
  </si>
  <si>
    <t>Purchase of breastfeeding equipment for own use for a child aged 2 years and below</t>
  </si>
  <si>
    <t>i. receiving further education in Malaysia in respect of an award of diploma or higher (excluding matriculation/ preparatory courses).</t>
  </si>
  <si>
    <t>ii. receiving further education outside Malaysia in respect of an award of degree or its equivalent (including Master or Doctorate).</t>
  </si>
  <si>
    <t>iii. the instruction and educational establishment shall be approved by the relevant government authority.</t>
  </si>
  <si>
    <t>i. Other than a degree at masters or doctorate level - Course of study in law, accounting, islamic financing, technical, vocational, industrial, scientific or technology</t>
  </si>
  <si>
    <t>ii. Degree at masters or doctorate level - Any course of study</t>
  </si>
  <si>
    <t>Additional exemption of RM8,000 disable child age 18 years old and above, not married and pursuing diplomas or above qualification in Malaysia @ bachelor degree or above outside Malaysia in program and in Higher Education Institute that is accredited by related Government authorities</t>
  </si>
  <si>
    <t>Education</t>
  </si>
  <si>
    <t>Medical</t>
  </si>
  <si>
    <t>Parenthood</t>
  </si>
  <si>
    <t>Insurance &amp; Investment</t>
  </si>
  <si>
    <t>For Disabled Person</t>
  </si>
  <si>
    <t>Net deposit in Skim Simpanan Pendidikan Nasional</t>
  </si>
  <si>
    <t>(Total deposit in 2020 MINUS total withdrawal in 2020)</t>
  </si>
  <si>
    <t>(Deduction allowed once in every 2 years of assessment)</t>
  </si>
  <si>
    <t>a.</t>
  </si>
  <si>
    <t>b.</t>
  </si>
  <si>
    <t>c.</t>
  </si>
  <si>
    <t>d.</t>
  </si>
  <si>
    <t>e.</t>
  </si>
  <si>
    <t>f.</t>
  </si>
  <si>
    <t>Input</t>
  </si>
  <si>
    <t>* Number of Individual claim for this deduction</t>
  </si>
  <si>
    <t>i. Purchase of books / journals / magazines / printed newspapers / other similar publications (Not  banned reading materials)
purchase of personal computer, smartphone or tablet (Not for business use)</t>
  </si>
  <si>
    <t>ii.  Purchase of sports equipment for sports activity defined under the Sports Development Act 1997 and payment of gym membership</t>
  </si>
  <si>
    <t>iii. Payment of monthly bill for internet subscription (Under own name)</t>
  </si>
  <si>
    <t>ii) OTHER than pensionable public servant category</t>
  </si>
  <si>
    <t xml:space="preserve">     - Life insurance premium (Restricted to RM3,000)</t>
  </si>
  <si>
    <t xml:space="preserve">     - Contribution to EPF / approved scheme (Restricted to RM4,000)</t>
  </si>
  <si>
    <t xml:space="preserve">i) Pensionable public servant category
</t>
  </si>
  <si>
    <t xml:space="preserve">     - Life insurance premium</t>
  </si>
  <si>
    <t>Total</t>
  </si>
  <si>
    <t>Tax Relief</t>
  </si>
  <si>
    <r>
      <t>Life insurance and EPF </t>
    </r>
    <r>
      <rPr>
        <b/>
        <sz val="16"/>
        <color rgb="FF000000"/>
        <rFont val="Times New Roman"/>
        <family val="1"/>
      </rPr>
      <t>INCLUDING</t>
    </r>
    <r>
      <rPr>
        <sz val="16"/>
        <color rgb="FF000000"/>
        <rFont val="Times New Roman"/>
        <family val="1"/>
      </rPr>
      <t> not through salary deduction</t>
    </r>
  </si>
  <si>
    <r>
      <t>Education and medical insurance (</t>
    </r>
    <r>
      <rPr>
        <b/>
        <sz val="16"/>
        <color rgb="FF000000"/>
        <rFont val="Times New Roman"/>
        <family val="1"/>
      </rPr>
      <t>INCLUDING</t>
    </r>
    <r>
      <rPr>
        <sz val="16"/>
        <color rgb="FF000000"/>
        <rFont val="Times New Roman"/>
        <family val="1"/>
      </rPr>
      <t> not through salary deduction)</t>
    </r>
  </si>
  <si>
    <t>---Select---</t>
  </si>
  <si>
    <t>Details of Bank</t>
  </si>
  <si>
    <t/>
  </si>
  <si>
    <t>Sub Total</t>
  </si>
  <si>
    <t>Education fees (Self)</t>
  </si>
  <si>
    <t xml:space="preserve">Sub Total </t>
  </si>
  <si>
    <t>Additional deduction</t>
  </si>
  <si>
    <t>Purchase of personal computer, smartphone or tablet for self, spouse or   child and not for business use (Valid to purchase made within the period of 1st June 2020 to 31st December 2020)</t>
  </si>
  <si>
    <t>Number of unmarried child and under the age of 18 years old</t>
  </si>
  <si>
    <t>Total Tax Relief</t>
  </si>
  <si>
    <t>g.</t>
  </si>
  <si>
    <t>j.</t>
  </si>
  <si>
    <t>k.</t>
  </si>
  <si>
    <t>m.</t>
  </si>
  <si>
    <t>Identification Number</t>
  </si>
  <si>
    <t>Date Of Birth</t>
  </si>
  <si>
    <t>Telephone No</t>
  </si>
  <si>
    <t>Email</t>
  </si>
  <si>
    <t>Disposal of Asset</t>
  </si>
  <si>
    <t>Bank Account</t>
  </si>
  <si>
    <t>*a.</t>
  </si>
  <si>
    <t>*b.</t>
  </si>
  <si>
    <t>*c.</t>
  </si>
  <si>
    <t>*h.</t>
  </si>
  <si>
    <t>*i.</t>
  </si>
  <si>
    <t>*l.</t>
  </si>
  <si>
    <t>*n.</t>
  </si>
  <si>
    <t>*o.</t>
  </si>
  <si>
    <t>!!! MUST FILL IN THE SPACE THAT CONTAIN "*" LABEL</t>
  </si>
  <si>
    <t>* If want to exit from viewing report, can direclty close the worksheets. Thank You.</t>
  </si>
  <si>
    <t>Lee Shu Ern</t>
  </si>
  <si>
    <t>SG-123456</t>
  </si>
  <si>
    <t>000901141426</t>
  </si>
  <si>
    <t>Single</t>
  </si>
  <si>
    <t>Single Assessment</t>
  </si>
  <si>
    <t>0129852633</t>
  </si>
  <si>
    <t>Public Bank Berhad</t>
  </si>
  <si>
    <t>Number of unmarried child of 18 years and above who is receiving full-time education ("A-Level", certificate, matriculation or preparatory courses).</t>
  </si>
  <si>
    <t>Number of unmarried child of 18 years and above that</t>
  </si>
  <si>
    <t>Number of disabled child</t>
  </si>
  <si>
    <t>Both Parent</t>
  </si>
  <si>
    <t>0</t>
  </si>
  <si>
    <t>Self, Parent &amp; Spouse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</si>
</sst>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000\-0000000"/>
    <numFmt numFmtId="165" formatCode="0."/>
    <numFmt numFmtId="166" formatCode="#."/>
  </numFmts>
  <fonts count="12" x14ac:knownFonts="1">
    <font>
      <sz val="11"/>
      <color theme="1"/>
      <name val="Calibri"/>
      <family val="2"/>
      <scheme val="minor"/>
    </font>
    <font>
      <sz val="11"/>
      <color theme="1"/>
      <name val="Calibri"/>
      <family val="2"/>
      <scheme val="minor"/>
    </font>
    <font>
      <sz val="16"/>
      <color theme="1"/>
      <name val="Times New Roman"/>
      <family val="1"/>
    </font>
    <font>
      <b/>
      <sz val="16"/>
      <color theme="1"/>
      <name val="Times New Roman"/>
      <family val="1"/>
    </font>
    <font>
      <b/>
      <u/>
      <sz val="16"/>
      <color theme="1"/>
      <name val="Times New Roman"/>
      <family val="1"/>
    </font>
    <font>
      <sz val="16"/>
      <name val="Times New Roman"/>
      <family val="1"/>
    </font>
    <font>
      <sz val="16"/>
      <color rgb="FF000000"/>
      <name val="Times New Roman"/>
      <family val="1"/>
    </font>
    <font>
      <b/>
      <sz val="16"/>
      <color rgb="FF000000"/>
      <name val="Times New Roman"/>
      <family val="1"/>
    </font>
    <font>
      <sz val="16"/>
      <color theme="1"/>
      <name val="Calibri"/>
      <family val="2"/>
      <scheme val="minor"/>
    </font>
    <font>
      <b/>
      <u/>
      <sz val="18"/>
      <color theme="1"/>
      <name val="Times New Roman"/>
      <family val="1"/>
    </font>
    <font>
      <sz val="16"/>
      <color rgb="FFFF0000"/>
      <name val="Times New Roman"/>
      <family val="1"/>
    </font>
    <font>
      <sz val="16"/>
      <color rgb="FFFF0000"/>
      <name val="Calibri"/>
      <family val="2"/>
      <scheme val="minor"/>
    </font>
  </fonts>
  <fills count="5">
    <fill>
      <patternFill patternType="none"/>
    </fill>
    <fill>
      <patternFill patternType="gray125"/>
    </fill>
    <fill>
      <patternFill patternType="solid">
        <fgColor theme="7" tint="0.59999389629810485"/>
        <bgColor indexed="64"/>
      </patternFill>
    </fill>
    <fill>
      <patternFill patternType="solid">
        <fgColor theme="7" tint="0.79998168889431442"/>
        <bgColor indexed="64"/>
      </patternFill>
    </fill>
    <fill>
      <patternFill patternType="solid">
        <fgColor theme="7" tint="0.39997558519241921"/>
        <bgColor indexed="64"/>
      </patternFill>
    </fill>
  </fills>
  <borders count="16">
    <border>
      <left/>
      <right/>
      <top/>
      <bottom/>
      <diagonal/>
    </border>
    <border>
      <left/>
      <right style="thin">
        <color theme="7"/>
      </right>
      <top/>
      <bottom/>
      <diagonal/>
    </border>
    <border>
      <left style="thin">
        <color theme="7"/>
      </left>
      <right style="thin">
        <color theme="7"/>
      </right>
      <top/>
      <bottom/>
      <diagonal/>
    </border>
    <border>
      <left/>
      <right/>
      <top/>
      <bottom style="thin">
        <color theme="7"/>
      </bottom>
      <diagonal/>
    </border>
    <border>
      <left/>
      <right style="thin">
        <color theme="7"/>
      </right>
      <top/>
      <bottom style="thin">
        <color theme="7"/>
      </bottom>
      <diagonal/>
    </border>
    <border>
      <left style="thin">
        <color theme="7"/>
      </left>
      <right style="thin">
        <color theme="7"/>
      </right>
      <top/>
      <bottom style="thin">
        <color theme="7"/>
      </bottom>
      <diagonal/>
    </border>
    <border>
      <left style="thin">
        <color theme="7"/>
      </left>
      <right style="thin">
        <color theme="7"/>
      </right>
      <top style="thin">
        <color theme="7"/>
      </top>
      <bottom style="thin">
        <color theme="7"/>
      </bottom>
      <diagonal/>
    </border>
    <border>
      <left/>
      <right style="thin">
        <color theme="7"/>
      </right>
      <top style="thin">
        <color theme="7"/>
      </top>
      <bottom style="thin">
        <color theme="7"/>
      </bottom>
      <diagonal/>
    </border>
    <border>
      <left/>
      <right/>
      <top style="thin">
        <color theme="7"/>
      </top>
      <bottom style="thin">
        <color theme="7"/>
      </bottom>
      <diagonal/>
    </border>
    <border>
      <left/>
      <right style="thin">
        <color theme="7"/>
      </right>
      <top style="thin">
        <color theme="7"/>
      </top>
      <bottom/>
      <diagonal/>
    </border>
    <border>
      <left style="thin">
        <color theme="7"/>
      </left>
      <right/>
      <top/>
      <bottom style="thin">
        <color theme="7"/>
      </bottom>
      <diagonal/>
    </border>
    <border>
      <left/>
      <right style="medium">
        <color theme="7"/>
      </right>
      <top/>
      <bottom/>
      <diagonal/>
    </border>
    <border>
      <left style="medium">
        <color theme="7"/>
      </left>
      <right style="medium">
        <color theme="7"/>
      </right>
      <top/>
      <bottom/>
      <diagonal/>
    </border>
    <border>
      <left style="medium">
        <color theme="7"/>
      </left>
      <right/>
      <top/>
      <bottom style="medium">
        <color theme="7"/>
      </bottom>
      <diagonal/>
    </border>
    <border>
      <left/>
      <right/>
      <top/>
      <bottom style="medium">
        <color theme="7"/>
      </bottom>
      <diagonal/>
    </border>
    <border>
      <left style="thin">
        <color theme="7"/>
      </left>
      <right/>
      <top style="thin">
        <color theme="7"/>
      </top>
      <bottom style="double">
        <color theme="7"/>
      </bottom>
      <diagonal/>
    </border>
  </borders>
  <cellStyleXfs count="2">
    <xf numFmtId="0" fontId="0" fillId="0" borderId="0"/>
    <xf numFmtId="43" fontId="1" fillId="0" borderId="0" applyFont="0" applyFill="0" applyBorder="0" applyAlignment="0" applyProtection="0"/>
  </cellStyleXfs>
  <cellXfs count="211">
    <xf numFmtId="0" fontId="0" fillId="0" borderId="0" xfId="0"/>
    <xf numFmtId="0" fontId="2" fillId="0" borderId="0" xfId="0" applyFont="1"/>
    <xf numFmtId="0" fontId="2" fillId="0" borderId="0" xfId="0" applyNumberFormat="1" applyFont="1" applyFill="1" applyAlignment="1" applyProtection="1">
      <alignment horizontal="left"/>
    </xf>
    <xf numFmtId="0" fontId="2" fillId="0" borderId="0" xfId="0" applyFont="1" applyAlignment="1" applyProtection="1">
      <alignment vertical="center"/>
      <protection hidden="1"/>
    </xf>
    <xf numFmtId="43" fontId="2" fillId="0" borderId="0" xfId="1" applyFont="1" applyFill="1" applyProtection="1">
      <protection hidden="1"/>
    </xf>
    <xf numFmtId="0" fontId="8" fillId="0" borderId="0" xfId="0" applyFont="1"/>
    <xf numFmtId="43" fontId="2" fillId="3" borderId="0" xfId="1" applyFont="1" applyFill="1" applyBorder="1" applyProtection="1">
      <protection hidden="1"/>
    </xf>
    <xf numFmtId="43" fontId="2" fillId="2" borderId="0" xfId="1" applyFont="1" applyFill="1" applyBorder="1" applyProtection="1">
      <protection hidden="1"/>
    </xf>
    <xf numFmtId="43" fontId="2" fillId="4" borderId="0" xfId="1" applyFont="1" applyFill="1" applyBorder="1" applyProtection="1">
      <protection hidden="1"/>
    </xf>
    <xf numFmtId="43" fontId="2" fillId="3" borderId="2" xfId="1" applyFont="1" applyFill="1" applyBorder="1" applyProtection="1">
      <protection hidden="1"/>
    </xf>
    <xf numFmtId="1" fontId="6" fillId="4" borderId="2" xfId="1" quotePrefix="1" applyNumberFormat="1" applyFont="1" applyFill="1" applyBorder="1" applyProtection="1">
      <protection locked="0" hidden="1"/>
    </xf>
    <xf numFmtId="0" fontId="6" fillId="4" borderId="2" xfId="1" quotePrefix="1" applyNumberFormat="1" applyFont="1" applyFill="1" applyBorder="1" applyAlignment="1" applyProtection="1">
      <alignment wrapText="1"/>
      <protection locked="0" hidden="1"/>
    </xf>
    <xf numFmtId="43" fontId="2" fillId="0" borderId="0" xfId="1" applyFont="1" applyFill="1" applyBorder="1" applyProtection="1">
      <protection hidden="1"/>
    </xf>
    <xf numFmtId="43" fontId="2" fillId="0" borderId="0" xfId="1" applyFont="1" applyProtection="1">
      <protection hidden="1"/>
    </xf>
    <xf numFmtId="0" fontId="2" fillId="0" borderId="0" xfId="0" applyFont="1" applyProtection="1">
      <protection hidden="1"/>
    </xf>
    <xf numFmtId="0" fontId="4" fillId="0" borderId="0" xfId="0" applyFont="1" applyFill="1" applyBorder="1" applyAlignment="1" applyProtection="1">
      <alignment horizontal="left" vertical="center"/>
      <protection hidden="1"/>
    </xf>
    <xf numFmtId="0" fontId="2" fillId="0" borderId="0" xfId="0" applyFont="1" applyFill="1" applyProtection="1">
      <protection hidden="1"/>
    </xf>
    <xf numFmtId="165" fontId="3" fillId="2" borderId="0" xfId="0" applyNumberFormat="1" applyFont="1" applyFill="1" applyBorder="1" applyAlignment="1" applyProtection="1">
      <alignment horizontal="left"/>
      <protection hidden="1"/>
    </xf>
    <xf numFmtId="0" fontId="3" fillId="2" borderId="1" xfId="0" applyFont="1" applyFill="1" applyBorder="1" applyProtection="1">
      <protection hidden="1"/>
    </xf>
    <xf numFmtId="43" fontId="3" fillId="2" borderId="2" xfId="1" applyFont="1" applyFill="1" applyBorder="1" applyProtection="1">
      <protection hidden="1"/>
    </xf>
    <xf numFmtId="165" fontId="3" fillId="3" borderId="0" xfId="0" applyNumberFormat="1" applyFont="1" applyFill="1" applyBorder="1" applyAlignment="1" applyProtection="1">
      <alignment horizontal="left"/>
      <protection hidden="1"/>
    </xf>
    <xf numFmtId="0" fontId="2" fillId="3" borderId="1" xfId="0" applyFont="1" applyFill="1" applyBorder="1" applyProtection="1">
      <protection hidden="1"/>
    </xf>
    <xf numFmtId="165" fontId="3" fillId="3" borderId="0" xfId="0" applyNumberFormat="1" applyFont="1" applyFill="1" applyBorder="1" applyAlignment="1" applyProtection="1">
      <alignment vertical="top"/>
      <protection hidden="1"/>
    </xf>
    <xf numFmtId="0" fontId="6" fillId="3" borderId="1" xfId="0" applyFont="1" applyFill="1" applyBorder="1" applyProtection="1">
      <protection hidden="1"/>
    </xf>
    <xf numFmtId="43" fontId="2" fillId="3" borderId="2" xfId="1" applyFont="1" applyFill="1" applyBorder="1" applyAlignment="1" applyProtection="1">
      <protection hidden="1"/>
    </xf>
    <xf numFmtId="43" fontId="2" fillId="3" borderId="0" xfId="1" applyFont="1" applyFill="1" applyBorder="1" applyAlignment="1" applyProtection="1">
      <protection hidden="1"/>
    </xf>
    <xf numFmtId="0" fontId="2" fillId="3" borderId="1" xfId="0" applyFont="1" applyFill="1" applyBorder="1" applyAlignment="1" applyProtection="1">
      <protection hidden="1"/>
    </xf>
    <xf numFmtId="0" fontId="7" fillId="3" borderId="1" xfId="0" applyFont="1" applyFill="1" applyBorder="1" applyProtection="1">
      <protection hidden="1"/>
    </xf>
    <xf numFmtId="0" fontId="6" fillId="3" borderId="1" xfId="0" applyFont="1" applyFill="1" applyBorder="1" applyAlignment="1" applyProtection="1">
      <protection hidden="1"/>
    </xf>
    <xf numFmtId="0" fontId="6" fillId="3" borderId="2" xfId="0" applyFont="1" applyFill="1" applyBorder="1" applyAlignment="1" applyProtection="1">
      <protection hidden="1"/>
    </xf>
    <xf numFmtId="0" fontId="6" fillId="3" borderId="0" xfId="0" applyFont="1" applyFill="1" applyBorder="1" applyAlignment="1" applyProtection="1">
      <protection hidden="1"/>
    </xf>
    <xf numFmtId="165" fontId="3" fillId="3" borderId="3" xfId="0" applyNumberFormat="1" applyFont="1" applyFill="1" applyBorder="1" applyAlignment="1" applyProtection="1">
      <alignment horizontal="left"/>
      <protection hidden="1"/>
    </xf>
    <xf numFmtId="0" fontId="6" fillId="3" borderId="4" xfId="0" applyFont="1" applyFill="1" applyBorder="1" applyProtection="1">
      <protection hidden="1"/>
    </xf>
    <xf numFmtId="0" fontId="2" fillId="0" borderId="0" xfId="0" applyFont="1" applyBorder="1" applyProtection="1">
      <protection hidden="1"/>
    </xf>
    <xf numFmtId="165" fontId="3" fillId="0" borderId="0" xfId="0" applyNumberFormat="1" applyFont="1" applyAlignment="1" applyProtection="1">
      <alignment horizontal="left"/>
      <protection hidden="1"/>
    </xf>
    <xf numFmtId="165" fontId="3" fillId="2" borderId="0" xfId="0" applyNumberFormat="1" applyFont="1" applyFill="1" applyAlignment="1" applyProtection="1">
      <alignment horizontal="left"/>
      <protection hidden="1"/>
    </xf>
    <xf numFmtId="165" fontId="3" fillId="3" borderId="0" xfId="0" applyNumberFormat="1" applyFont="1" applyFill="1" applyAlignment="1" applyProtection="1">
      <alignment horizontal="left"/>
      <protection hidden="1"/>
    </xf>
    <xf numFmtId="0" fontId="6" fillId="3" borderId="1" xfId="0" applyFont="1" applyFill="1" applyBorder="1" applyAlignment="1" applyProtection="1">
      <alignment horizontal="left" vertical="center" wrapText="1" indent="1"/>
      <protection hidden="1"/>
    </xf>
    <xf numFmtId="43" fontId="6" fillId="3" borderId="2" xfId="1" applyFont="1" applyFill="1" applyBorder="1" applyAlignment="1" applyProtection="1">
      <alignment horizontal="left" vertical="center" wrapText="1" indent="1"/>
      <protection hidden="1"/>
    </xf>
    <xf numFmtId="165" fontId="3" fillId="0" borderId="0" xfId="0" applyNumberFormat="1" applyFont="1" applyFill="1" applyAlignment="1" applyProtection="1">
      <alignment horizontal="left"/>
      <protection hidden="1"/>
    </xf>
    <xf numFmtId="0" fontId="6" fillId="0" borderId="0" xfId="0" applyFont="1" applyFill="1" applyBorder="1" applyAlignment="1" applyProtection="1">
      <alignment horizontal="left" vertical="center" wrapText="1" indent="1"/>
      <protection hidden="1"/>
    </xf>
    <xf numFmtId="43" fontId="6" fillId="0" borderId="0" xfId="1" applyFont="1" applyFill="1" applyBorder="1" applyAlignment="1" applyProtection="1">
      <alignment horizontal="left" vertical="center" wrapText="1" indent="1"/>
      <protection hidden="1"/>
    </xf>
    <xf numFmtId="43" fontId="3" fillId="2" borderId="1" xfId="1" applyFont="1" applyFill="1" applyBorder="1" applyProtection="1">
      <protection hidden="1"/>
    </xf>
    <xf numFmtId="43" fontId="2" fillId="2" borderId="0" xfId="1" applyFont="1" applyFill="1" applyProtection="1">
      <protection hidden="1"/>
    </xf>
    <xf numFmtId="43" fontId="2" fillId="4" borderId="0" xfId="1" applyFont="1" applyFill="1" applyProtection="1">
      <protection hidden="1"/>
    </xf>
    <xf numFmtId="43" fontId="2" fillId="3" borderId="1" xfId="1" applyFont="1" applyFill="1" applyBorder="1" applyProtection="1">
      <protection hidden="1"/>
    </xf>
    <xf numFmtId="43" fontId="2" fillId="3" borderId="0" xfId="1" applyFont="1" applyFill="1" applyProtection="1">
      <protection hidden="1"/>
    </xf>
    <xf numFmtId="0" fontId="2" fillId="3" borderId="4" xfId="0" applyFont="1" applyFill="1" applyBorder="1" applyProtection="1">
      <protection hidden="1"/>
    </xf>
    <xf numFmtId="43" fontId="2" fillId="3" borderId="4" xfId="1" applyFont="1" applyFill="1" applyBorder="1" applyProtection="1">
      <protection hidden="1"/>
    </xf>
    <xf numFmtId="43" fontId="2" fillId="3" borderId="3" xfId="1" applyFont="1" applyFill="1" applyBorder="1" applyProtection="1">
      <protection hidden="1"/>
    </xf>
    <xf numFmtId="165" fontId="3" fillId="0" borderId="0" xfId="0" applyNumberFormat="1" applyFont="1" applyFill="1" applyBorder="1" applyAlignment="1" applyProtection="1">
      <alignment horizontal="left"/>
      <protection hidden="1"/>
    </xf>
    <xf numFmtId="0" fontId="3" fillId="0" borderId="0" xfId="0" applyFont="1" applyFill="1" applyBorder="1" applyProtection="1">
      <protection hidden="1"/>
    </xf>
    <xf numFmtId="0" fontId="2" fillId="0" borderId="0" xfId="0" applyFont="1" applyFill="1" applyBorder="1" applyProtection="1">
      <protection hidden="1"/>
    </xf>
    <xf numFmtId="43" fontId="3" fillId="2" borderId="0" xfId="1" applyFont="1" applyFill="1" applyProtection="1">
      <protection hidden="1"/>
    </xf>
    <xf numFmtId="43" fontId="6" fillId="3" borderId="0" xfId="1" applyFont="1" applyFill="1" applyAlignment="1" applyProtection="1">
      <alignment horizontal="left" vertical="center" wrapText="1" indent="1"/>
      <protection hidden="1"/>
    </xf>
    <xf numFmtId="0" fontId="6" fillId="3" borderId="1" xfId="0" applyFont="1" applyFill="1" applyBorder="1" applyAlignment="1" applyProtection="1">
      <alignment horizontal="left" vertical="top" wrapText="1" indent="1"/>
      <protection hidden="1"/>
    </xf>
    <xf numFmtId="43" fontId="6" fillId="3" borderId="2" xfId="1" applyFont="1" applyFill="1" applyBorder="1" applyAlignment="1" applyProtection="1">
      <alignment horizontal="left" vertical="top" wrapText="1" indent="1"/>
      <protection hidden="1"/>
    </xf>
    <xf numFmtId="43" fontId="6" fillId="3" borderId="0" xfId="1" applyFont="1" applyFill="1" applyAlignment="1" applyProtection="1">
      <alignment horizontal="left" vertical="top" wrapText="1" indent="1"/>
      <protection hidden="1"/>
    </xf>
    <xf numFmtId="0" fontId="2" fillId="3" borderId="1" xfId="0" applyFont="1" applyFill="1" applyBorder="1" applyAlignment="1" applyProtection="1">
      <alignment vertical="top" wrapText="1"/>
      <protection hidden="1"/>
    </xf>
    <xf numFmtId="165" fontId="3" fillId="3" borderId="0" xfId="0" applyNumberFormat="1" applyFont="1" applyFill="1" applyAlignment="1" applyProtection="1">
      <alignment horizontal="left" vertical="top"/>
      <protection hidden="1"/>
    </xf>
    <xf numFmtId="0" fontId="6" fillId="3" borderId="1" xfId="0" applyFont="1" applyFill="1" applyBorder="1" applyAlignment="1" applyProtection="1">
      <alignment vertical="top" wrapText="1"/>
      <protection hidden="1"/>
    </xf>
    <xf numFmtId="43" fontId="6" fillId="4" borderId="0" xfId="1" applyFont="1" applyFill="1" applyAlignment="1" applyProtection="1">
      <alignment vertical="top" wrapText="1"/>
      <protection hidden="1"/>
    </xf>
    <xf numFmtId="165" fontId="3" fillId="3" borderId="3" xfId="0" applyNumberFormat="1" applyFont="1" applyFill="1" applyBorder="1" applyAlignment="1" applyProtection="1">
      <alignment horizontal="left" vertical="top"/>
      <protection hidden="1"/>
    </xf>
    <xf numFmtId="0" fontId="6" fillId="3" borderId="4" xfId="0" applyFont="1" applyFill="1" applyBorder="1" applyAlignment="1" applyProtection="1">
      <alignment vertical="top" wrapText="1"/>
      <protection hidden="1"/>
    </xf>
    <xf numFmtId="43" fontId="6" fillId="3" borderId="5" xfId="1" applyFont="1" applyFill="1" applyBorder="1" applyAlignment="1" applyProtection="1">
      <alignment vertical="top" wrapText="1"/>
      <protection hidden="1"/>
    </xf>
    <xf numFmtId="43" fontId="6" fillId="3" borderId="3" xfId="1" applyFont="1" applyFill="1" applyBorder="1" applyAlignment="1" applyProtection="1">
      <alignment vertical="top" wrapText="1"/>
      <protection hidden="1"/>
    </xf>
    <xf numFmtId="165" fontId="3" fillId="0" borderId="0" xfId="0" applyNumberFormat="1" applyFont="1" applyFill="1" applyBorder="1" applyAlignment="1" applyProtection="1">
      <alignment horizontal="left" vertical="top"/>
      <protection hidden="1"/>
    </xf>
    <xf numFmtId="0" fontId="7" fillId="0" borderId="0" xfId="0" applyFont="1" applyFill="1" applyBorder="1" applyAlignment="1" applyProtection="1">
      <alignment vertical="top" wrapText="1"/>
      <protection hidden="1"/>
    </xf>
    <xf numFmtId="43" fontId="6" fillId="0" borderId="0" xfId="1" applyFont="1" applyFill="1" applyBorder="1" applyAlignment="1" applyProtection="1">
      <alignment vertical="top" wrapText="1"/>
      <protection hidden="1"/>
    </xf>
    <xf numFmtId="0" fontId="2" fillId="3" borderId="1" xfId="0" applyFont="1" applyFill="1" applyBorder="1" applyAlignment="1" applyProtection="1">
      <alignment wrapText="1"/>
      <protection hidden="1"/>
    </xf>
    <xf numFmtId="43" fontId="2" fillId="4" borderId="0" xfId="1" applyFont="1" applyFill="1" applyAlignment="1" applyProtection="1">
      <alignment wrapText="1"/>
      <protection hidden="1"/>
    </xf>
    <xf numFmtId="43" fontId="2" fillId="3" borderId="2" xfId="1" applyFont="1" applyFill="1" applyBorder="1" applyAlignment="1" applyProtection="1">
      <alignment vertical="top" wrapText="1"/>
      <protection hidden="1"/>
    </xf>
    <xf numFmtId="43" fontId="2" fillId="3" borderId="0" xfId="1" applyFont="1" applyFill="1" applyAlignment="1" applyProtection="1">
      <alignment vertical="top" wrapText="1"/>
      <protection hidden="1"/>
    </xf>
    <xf numFmtId="0" fontId="6" fillId="3" borderId="1" xfId="0" applyFont="1" applyFill="1" applyBorder="1" applyAlignment="1" applyProtection="1">
      <alignment horizontal="left" wrapText="1"/>
      <protection hidden="1"/>
    </xf>
    <xf numFmtId="43" fontId="6" fillId="4" borderId="0" xfId="1" applyFont="1" applyFill="1" applyAlignment="1" applyProtection="1">
      <alignment horizontal="left"/>
      <protection hidden="1"/>
    </xf>
    <xf numFmtId="43" fontId="6" fillId="4" borderId="0" xfId="1" applyFont="1" applyFill="1" applyAlignment="1" applyProtection="1">
      <protection hidden="1"/>
    </xf>
    <xf numFmtId="43" fontId="6" fillId="3" borderId="2" xfId="1" applyFont="1" applyFill="1" applyBorder="1" applyAlignment="1" applyProtection="1">
      <protection hidden="1"/>
    </xf>
    <xf numFmtId="43" fontId="6" fillId="3" borderId="0" xfId="1" applyFont="1" applyFill="1" applyAlignment="1" applyProtection="1">
      <protection hidden="1"/>
    </xf>
    <xf numFmtId="43" fontId="6" fillId="4" borderId="0" xfId="1" applyFont="1" applyFill="1" applyProtection="1">
      <protection hidden="1"/>
    </xf>
    <xf numFmtId="43" fontId="2" fillId="3" borderId="2" xfId="1" applyFont="1" applyFill="1" applyBorder="1" applyAlignment="1" applyProtection="1">
      <alignment wrapText="1"/>
      <protection hidden="1"/>
    </xf>
    <xf numFmtId="43" fontId="2" fillId="3" borderId="0" xfId="1" applyFont="1" applyFill="1" applyAlignment="1" applyProtection="1">
      <alignment wrapText="1"/>
      <protection hidden="1"/>
    </xf>
    <xf numFmtId="0" fontId="6" fillId="3" borderId="4" xfId="0" applyFont="1" applyFill="1" applyBorder="1" applyAlignment="1" applyProtection="1">
      <alignment horizontal="left" vertical="center" wrapText="1" indent="1"/>
      <protection hidden="1"/>
    </xf>
    <xf numFmtId="43" fontId="6" fillId="3" borderId="5" xfId="1" applyFont="1" applyFill="1" applyBorder="1" applyAlignment="1" applyProtection="1">
      <alignment horizontal="left" vertical="center" wrapText="1" indent="1"/>
      <protection hidden="1"/>
    </xf>
    <xf numFmtId="43" fontId="6" fillId="3" borderId="3" xfId="1" applyFont="1" applyFill="1" applyBorder="1" applyAlignment="1" applyProtection="1">
      <alignment horizontal="left" vertical="center" wrapText="1" indent="1"/>
      <protection hidden="1"/>
    </xf>
    <xf numFmtId="0" fontId="7" fillId="0" borderId="0" xfId="0" applyFont="1" applyFill="1" applyBorder="1" applyAlignment="1" applyProtection="1">
      <alignment horizontal="left" vertical="center" wrapText="1" indent="1"/>
      <protection hidden="1"/>
    </xf>
    <xf numFmtId="43" fontId="6" fillId="0" borderId="0" xfId="1" applyFont="1" applyFill="1" applyAlignment="1" applyProtection="1">
      <alignment horizontal="left" vertical="center" wrapText="1" indent="1"/>
      <protection hidden="1"/>
    </xf>
    <xf numFmtId="0" fontId="7" fillId="2" borderId="1" xfId="0" applyFont="1" applyFill="1" applyBorder="1" applyAlignment="1" applyProtection="1">
      <alignment horizontal="left" vertical="center" wrapText="1" indent="1"/>
      <protection hidden="1"/>
    </xf>
    <xf numFmtId="43" fontId="7" fillId="2" borderId="2" xfId="1" applyFont="1" applyFill="1" applyBorder="1" applyAlignment="1" applyProtection="1">
      <alignment horizontal="left" vertical="center" wrapText="1" indent="1"/>
      <protection hidden="1"/>
    </xf>
    <xf numFmtId="43" fontId="7" fillId="2" borderId="0" xfId="1" applyFont="1" applyFill="1" applyAlignment="1" applyProtection="1">
      <alignment horizontal="left" vertical="center" wrapText="1" indent="1"/>
      <protection hidden="1"/>
    </xf>
    <xf numFmtId="43" fontId="6" fillId="3" borderId="2" xfId="1" applyFont="1" applyFill="1" applyBorder="1" applyProtection="1">
      <protection hidden="1"/>
    </xf>
    <xf numFmtId="43" fontId="6" fillId="3" borderId="0" xfId="1" applyFont="1" applyFill="1" applyProtection="1">
      <protection hidden="1"/>
    </xf>
    <xf numFmtId="43" fontId="2" fillId="0" borderId="0" xfId="0" applyNumberFormat="1" applyFont="1" applyProtection="1">
      <protection hidden="1"/>
    </xf>
    <xf numFmtId="43" fontId="6" fillId="3" borderId="5" xfId="1" applyFont="1" applyFill="1" applyBorder="1" applyProtection="1">
      <protection hidden="1"/>
    </xf>
    <xf numFmtId="43" fontId="6" fillId="3" borderId="3" xfId="1" applyFont="1" applyFill="1" applyBorder="1" applyProtection="1">
      <protection hidden="1"/>
    </xf>
    <xf numFmtId="0" fontId="7" fillId="0" borderId="0" xfId="0" applyFont="1" applyFill="1" applyBorder="1" applyProtection="1">
      <protection hidden="1"/>
    </xf>
    <xf numFmtId="43" fontId="6" fillId="0" borderId="0" xfId="1" applyFont="1" applyFill="1" applyBorder="1" applyProtection="1">
      <protection hidden="1"/>
    </xf>
    <xf numFmtId="43" fontId="6" fillId="0" borderId="0" xfId="1" applyFont="1" applyFill="1" applyProtection="1">
      <protection hidden="1"/>
    </xf>
    <xf numFmtId="0" fontId="6" fillId="3" borderId="1" xfId="0" applyFont="1" applyFill="1" applyBorder="1" applyAlignment="1" applyProtection="1">
      <alignment wrapText="1"/>
      <protection hidden="1"/>
    </xf>
    <xf numFmtId="43" fontId="6" fillId="4" borderId="0" xfId="1" applyFont="1" applyFill="1" applyAlignment="1" applyProtection="1">
      <alignment wrapText="1"/>
      <protection hidden="1"/>
    </xf>
    <xf numFmtId="0" fontId="6" fillId="3" borderId="4" xfId="0" applyFont="1" applyFill="1" applyBorder="1" applyAlignment="1" applyProtection="1">
      <alignment wrapText="1"/>
      <protection hidden="1"/>
    </xf>
    <xf numFmtId="0" fontId="6" fillId="3" borderId="5" xfId="1" quotePrefix="1" applyNumberFormat="1" applyFont="1" applyFill="1" applyBorder="1" applyAlignment="1" applyProtection="1">
      <alignment wrapText="1"/>
      <protection hidden="1"/>
    </xf>
    <xf numFmtId="43" fontId="6" fillId="3" borderId="3" xfId="1" applyFont="1" applyFill="1" applyBorder="1" applyAlignment="1" applyProtection="1">
      <alignment wrapText="1"/>
      <protection hidden="1"/>
    </xf>
    <xf numFmtId="165" fontId="3" fillId="0" borderId="0" xfId="0" applyNumberFormat="1" applyFont="1" applyFill="1" applyAlignment="1" applyProtection="1">
      <alignment horizontal="left" vertical="top"/>
      <protection hidden="1"/>
    </xf>
    <xf numFmtId="0" fontId="7" fillId="0" borderId="0" xfId="0" applyFont="1" applyFill="1" applyBorder="1" applyAlignment="1" applyProtection="1">
      <alignment wrapText="1"/>
      <protection hidden="1"/>
    </xf>
    <xf numFmtId="0" fontId="6" fillId="0" borderId="0" xfId="1" quotePrefix="1" applyNumberFormat="1" applyFont="1" applyFill="1" applyBorder="1" applyAlignment="1" applyProtection="1">
      <alignment wrapText="1"/>
      <protection hidden="1"/>
    </xf>
    <xf numFmtId="43" fontId="6" fillId="0" borderId="0" xfId="1" applyFont="1" applyFill="1" applyAlignment="1" applyProtection="1">
      <alignment wrapText="1"/>
      <protection hidden="1"/>
    </xf>
    <xf numFmtId="0" fontId="6" fillId="3" borderId="0" xfId="0" applyFont="1" applyFill="1" applyBorder="1" applyProtection="1">
      <protection hidden="1"/>
    </xf>
    <xf numFmtId="0" fontId="2" fillId="0" borderId="0" xfId="0" applyFont="1" applyFill="1" applyProtection="1"/>
    <xf numFmtId="0" fontId="2" fillId="0" borderId="0" xfId="0" applyFont="1" applyProtection="1"/>
    <xf numFmtId="0" fontId="8" fillId="0" borderId="0" xfId="0" applyFont="1" applyProtection="1"/>
    <xf numFmtId="43" fontId="5" fillId="4" borderId="0" xfId="0" applyNumberFormat="1" applyFont="1" applyFill="1" applyBorder="1" applyProtection="1">
      <protection hidden="1"/>
    </xf>
    <xf numFmtId="43" fontId="5" fillId="4" borderId="0" xfId="0" applyNumberFormat="1" applyFont="1" applyFill="1" applyBorder="1" applyProtection="1"/>
    <xf numFmtId="43" fontId="2" fillId="4" borderId="0" xfId="0" applyNumberFormat="1" applyFont="1" applyFill="1" applyBorder="1" applyProtection="1"/>
    <xf numFmtId="0" fontId="2" fillId="3" borderId="11" xfId="0" applyFont="1" applyFill="1" applyBorder="1" applyProtection="1"/>
    <xf numFmtId="0" fontId="2" fillId="3" borderId="11" xfId="0" applyFont="1" applyFill="1" applyBorder="1" applyAlignment="1" applyProtection="1">
      <alignment horizontal="left" wrapText="1"/>
    </xf>
    <xf numFmtId="0" fontId="2" fillId="3" borderId="11" xfId="0" applyFont="1" applyFill="1" applyBorder="1" applyAlignment="1" applyProtection="1">
      <alignment wrapText="1"/>
    </xf>
    <xf numFmtId="0" fontId="3" fillId="3" borderId="11" xfId="0" applyFont="1" applyFill="1" applyBorder="1" applyProtection="1"/>
    <xf numFmtId="43" fontId="5" fillId="3" borderId="0" xfId="0" applyNumberFormat="1" applyFont="1" applyFill="1" applyBorder="1" applyProtection="1">
      <protection hidden="1"/>
    </xf>
    <xf numFmtId="43" fontId="5" fillId="3" borderId="0" xfId="0" applyNumberFormat="1" applyFont="1" applyFill="1" applyBorder="1" applyProtection="1"/>
    <xf numFmtId="43" fontId="5" fillId="3" borderId="3" xfId="0" applyNumberFormat="1" applyFont="1" applyFill="1" applyBorder="1" applyProtection="1"/>
    <xf numFmtId="43" fontId="5" fillId="3" borderId="12" xfId="1" applyFont="1" applyFill="1" applyBorder="1" applyProtection="1">
      <protection hidden="1"/>
    </xf>
    <xf numFmtId="43" fontId="5" fillId="3" borderId="12" xfId="1" applyFont="1" applyFill="1" applyBorder="1" applyProtection="1"/>
    <xf numFmtId="0" fontId="5" fillId="3" borderId="0" xfId="0" applyFont="1" applyFill="1" applyBorder="1" applyProtection="1"/>
    <xf numFmtId="0" fontId="2" fillId="3" borderId="0" xfId="0" applyFont="1" applyFill="1" applyBorder="1" applyProtection="1"/>
    <xf numFmtId="0" fontId="2" fillId="3" borderId="13" xfId="0" applyFont="1" applyFill="1" applyBorder="1" applyProtection="1"/>
    <xf numFmtId="43" fontId="2" fillId="3" borderId="12" xfId="1" applyFont="1" applyFill="1" applyBorder="1" applyProtection="1"/>
    <xf numFmtId="0" fontId="8" fillId="2" borderId="0" xfId="0" applyFont="1" applyFill="1" applyProtection="1"/>
    <xf numFmtId="0" fontId="9" fillId="2" borderId="0" xfId="0" applyFont="1" applyFill="1" applyAlignment="1" applyProtection="1">
      <alignment vertical="center"/>
    </xf>
    <xf numFmtId="166" fontId="2" fillId="0" borderId="0" xfId="0" applyNumberFormat="1" applyFont="1"/>
    <xf numFmtId="43" fontId="2" fillId="3" borderId="6" xfId="1" applyFont="1" applyFill="1" applyBorder="1" applyProtection="1">
      <protection hidden="1"/>
    </xf>
    <xf numFmtId="43" fontId="2" fillId="2" borderId="6" xfId="1" applyFont="1" applyFill="1" applyBorder="1" applyProtection="1">
      <protection hidden="1"/>
    </xf>
    <xf numFmtId="0" fontId="3" fillId="2" borderId="11" xfId="0" applyFont="1" applyFill="1" applyBorder="1" applyProtection="1"/>
    <xf numFmtId="43" fontId="2" fillId="2" borderId="12" xfId="1" applyFont="1" applyFill="1" applyBorder="1" applyProtection="1"/>
    <xf numFmtId="43" fontId="5" fillId="2" borderId="0" xfId="1" applyFont="1" applyFill="1" applyBorder="1" applyProtection="1"/>
    <xf numFmtId="0" fontId="2" fillId="2" borderId="12" xfId="0" applyFont="1" applyFill="1" applyBorder="1" applyProtection="1"/>
    <xf numFmtId="43" fontId="2" fillId="2" borderId="0" xfId="0" applyNumberFormat="1" applyFont="1" applyFill="1" applyBorder="1" applyProtection="1"/>
    <xf numFmtId="43" fontId="5" fillId="2" borderId="0" xfId="0" applyNumberFormat="1" applyFont="1" applyFill="1" applyBorder="1" applyProtection="1"/>
    <xf numFmtId="0" fontId="7" fillId="2" borderId="1" xfId="0" applyFont="1" applyFill="1" applyBorder="1" applyAlignment="1" applyProtection="1">
      <protection hidden="1"/>
    </xf>
    <xf numFmtId="0" fontId="6" fillId="2" borderId="2" xfId="0" applyFont="1" applyFill="1" applyBorder="1" applyAlignment="1" applyProtection="1">
      <protection hidden="1"/>
    </xf>
    <xf numFmtId="43" fontId="6" fillId="2" borderId="0" xfId="0" applyNumberFormat="1" applyFont="1" applyFill="1" applyBorder="1" applyAlignment="1" applyProtection="1">
      <protection hidden="1"/>
    </xf>
    <xf numFmtId="0" fontId="2" fillId="2" borderId="1" xfId="0" applyFont="1" applyFill="1" applyBorder="1" applyProtection="1">
      <protection hidden="1"/>
    </xf>
    <xf numFmtId="165" fontId="3" fillId="2" borderId="0" xfId="0" applyNumberFormat="1" applyFont="1" applyFill="1" applyBorder="1" applyAlignment="1" applyProtection="1">
      <alignment horizontal="left" vertical="top"/>
      <protection hidden="1"/>
    </xf>
    <xf numFmtId="0" fontId="7" fillId="2" borderId="1" xfId="0" applyFont="1" applyFill="1" applyBorder="1" applyAlignment="1" applyProtection="1">
      <alignment vertical="top" wrapText="1"/>
      <protection hidden="1"/>
    </xf>
    <xf numFmtId="43" fontId="6" fillId="2" borderId="2" xfId="1" applyFont="1" applyFill="1" applyBorder="1" applyAlignment="1" applyProtection="1">
      <alignment vertical="top" wrapText="1"/>
      <protection hidden="1"/>
    </xf>
    <xf numFmtId="43" fontId="6" fillId="2" borderId="0" xfId="1" applyFont="1" applyFill="1" applyBorder="1" applyAlignment="1" applyProtection="1">
      <alignment vertical="top" wrapText="1"/>
      <protection hidden="1"/>
    </xf>
    <xf numFmtId="43" fontId="6" fillId="2" borderId="2" xfId="1" applyFont="1" applyFill="1" applyBorder="1" applyAlignment="1" applyProtection="1">
      <alignment horizontal="left" vertical="center" wrapText="1" indent="1"/>
      <protection hidden="1"/>
    </xf>
    <xf numFmtId="43" fontId="6" fillId="2" borderId="0" xfId="1" applyFont="1" applyFill="1" applyAlignment="1" applyProtection="1">
      <alignment horizontal="left" vertical="center" wrapText="1" indent="1"/>
      <protection hidden="1"/>
    </xf>
    <xf numFmtId="0" fontId="7" fillId="2" borderId="1" xfId="0" applyFont="1" applyFill="1" applyBorder="1" applyProtection="1">
      <protection hidden="1"/>
    </xf>
    <xf numFmtId="43" fontId="6" fillId="2" borderId="2" xfId="1" applyFont="1" applyFill="1" applyBorder="1" applyProtection="1">
      <protection hidden="1"/>
    </xf>
    <xf numFmtId="43" fontId="6" fillId="2" borderId="0" xfId="1" applyFont="1" applyFill="1" applyProtection="1">
      <protection hidden="1"/>
    </xf>
    <xf numFmtId="165" fontId="3" fillId="2" borderId="0" xfId="0" applyNumberFormat="1" applyFont="1" applyFill="1" applyAlignment="1" applyProtection="1">
      <alignment horizontal="left" vertical="top"/>
      <protection hidden="1"/>
    </xf>
    <xf numFmtId="0" fontId="7" fillId="2" borderId="1" xfId="0" applyFont="1" applyFill="1" applyBorder="1" applyAlignment="1" applyProtection="1">
      <alignment wrapText="1"/>
      <protection hidden="1"/>
    </xf>
    <xf numFmtId="0" fontId="6" fillId="2" borderId="2" xfId="1" quotePrefix="1" applyNumberFormat="1" applyFont="1" applyFill="1" applyBorder="1" applyAlignment="1" applyProtection="1">
      <alignment wrapText="1"/>
      <protection hidden="1"/>
    </xf>
    <xf numFmtId="43" fontId="6" fillId="2" borderId="0" xfId="1" applyFont="1" applyFill="1" applyAlignment="1" applyProtection="1">
      <alignment wrapText="1"/>
      <protection hidden="1"/>
    </xf>
    <xf numFmtId="0" fontId="3" fillId="2" borderId="0" xfId="0" applyFont="1" applyFill="1" applyProtection="1">
      <protection hidden="1"/>
    </xf>
    <xf numFmtId="166" fontId="2" fillId="3" borderId="6" xfId="0" applyNumberFormat="1" applyFont="1" applyFill="1" applyBorder="1" applyProtection="1"/>
    <xf numFmtId="0" fontId="2" fillId="3" borderId="6" xfId="0" applyFont="1" applyFill="1" applyBorder="1" applyProtection="1"/>
    <xf numFmtId="0" fontId="2" fillId="2" borderId="6" xfId="0" applyFont="1" applyFill="1" applyBorder="1" applyProtection="1"/>
    <xf numFmtId="43" fontId="2" fillId="2" borderId="6" xfId="1" applyFont="1" applyFill="1" applyBorder="1" applyProtection="1"/>
    <xf numFmtId="164" fontId="2" fillId="0" borderId="0" xfId="0" applyNumberFormat="1" applyFont="1" applyFill="1" applyProtection="1"/>
    <xf numFmtId="166" fontId="2" fillId="2" borderId="6" xfId="0" applyNumberFormat="1" applyFont="1" applyFill="1" applyBorder="1" applyProtection="1"/>
    <xf numFmtId="0" fontId="3" fillId="2" borderId="6" xfId="0" applyFont="1" applyFill="1" applyBorder="1" applyProtection="1"/>
    <xf numFmtId="166" fontId="2" fillId="0" borderId="0" xfId="0" applyNumberFormat="1" applyFont="1" applyProtection="1"/>
    <xf numFmtId="43" fontId="2" fillId="0" borderId="0" xfId="1" applyFont="1" applyFill="1" applyProtection="1"/>
    <xf numFmtId="0" fontId="10" fillId="0" borderId="0" xfId="0" applyFont="1" applyProtection="1"/>
    <xf numFmtId="166" fontId="2" fillId="2" borderId="0" xfId="0" applyNumberFormat="1" applyFont="1" applyFill="1" applyProtection="1"/>
    <xf numFmtId="0" fontId="9" fillId="2" borderId="3" xfId="0" applyFont="1" applyFill="1" applyBorder="1" applyAlignment="1" applyProtection="1">
      <alignment vertical="center"/>
    </xf>
    <xf numFmtId="43" fontId="2" fillId="2" borderId="3" xfId="1" applyFont="1" applyFill="1" applyBorder="1" applyProtection="1"/>
    <xf numFmtId="37" fontId="6" fillId="4" borderId="2" xfId="1" applyNumberFormat="1" applyFont="1" applyFill="1" applyBorder="1" applyProtection="1">
      <protection hidden="1"/>
    </xf>
    <xf numFmtId="0" fontId="4" fillId="2" borderId="0" xfId="0" applyFont="1" applyFill="1" applyProtection="1"/>
    <xf numFmtId="0" fontId="2" fillId="2" borderId="0" xfId="0" applyFont="1" applyFill="1" applyProtection="1"/>
    <xf numFmtId="43" fontId="2" fillId="2" borderId="0" xfId="1" applyFont="1" applyFill="1" applyBorder="1" applyProtection="1"/>
    <xf numFmtId="0" fontId="8" fillId="2" borderId="0" xfId="0" applyFont="1" applyFill="1" applyBorder="1" applyProtection="1"/>
    <xf numFmtId="0" fontId="2" fillId="3" borderId="3" xfId="0" applyFont="1" applyFill="1" applyBorder="1" applyProtection="1"/>
    <xf numFmtId="0" fontId="8" fillId="3" borderId="4" xfId="0" applyFont="1" applyFill="1" applyBorder="1" applyProtection="1"/>
    <xf numFmtId="43" fontId="8" fillId="3" borderId="3" xfId="0" applyNumberFormat="1" applyFont="1" applyFill="1" applyBorder="1" applyProtection="1"/>
    <xf numFmtId="0" fontId="2" fillId="3" borderId="0" xfId="0" applyFont="1" applyFill="1" applyProtection="1"/>
    <xf numFmtId="0" fontId="8" fillId="3" borderId="1" xfId="0" applyFont="1" applyFill="1" applyBorder="1" applyProtection="1"/>
    <xf numFmtId="43" fontId="8" fillId="3" borderId="0" xfId="0" applyNumberFormat="1" applyFont="1" applyFill="1" applyBorder="1" applyProtection="1"/>
    <xf numFmtId="43" fontId="2" fillId="3" borderId="10" xfId="1" applyFont="1" applyFill="1" applyBorder="1" applyProtection="1"/>
    <xf numFmtId="0" fontId="3" fillId="3" borderId="0" xfId="0" applyFont="1" applyFill="1" applyProtection="1"/>
    <xf numFmtId="0" fontId="8" fillId="3" borderId="9" xfId="0" applyFont="1" applyFill="1" applyBorder="1" applyProtection="1"/>
    <xf numFmtId="43" fontId="2" fillId="3" borderId="15" xfId="1" applyFont="1" applyFill="1" applyBorder="1" applyProtection="1"/>
    <xf numFmtId="0" fontId="3" fillId="3" borderId="8" xfId="0" applyFont="1" applyFill="1" applyBorder="1" applyProtection="1"/>
    <xf numFmtId="0" fontId="2" fillId="3" borderId="8" xfId="0" applyFont="1" applyFill="1" applyBorder="1" applyProtection="1"/>
    <xf numFmtId="0" fontId="8" fillId="3" borderId="7" xfId="0" applyFont="1" applyFill="1" applyBorder="1" applyProtection="1"/>
    <xf numFmtId="43" fontId="2" fillId="3" borderId="3" xfId="1" applyFont="1" applyFill="1" applyBorder="1" applyProtection="1"/>
    <xf numFmtId="43" fontId="2" fillId="3" borderId="14" xfId="1" applyFont="1" applyFill="1" applyBorder="1" applyProtection="1"/>
    <xf numFmtId="0" fontId="11" fillId="0" borderId="0" xfId="0" applyFont="1" applyProtection="1"/>
    <xf numFmtId="43" fontId="2" fillId="0" borderId="0" xfId="1" applyFont="1" applyProtection="1">
      <protection locked="0" hidden="1"/>
    </xf>
    <xf numFmtId="43" fontId="2" fillId="4" borderId="0" xfId="1" applyFont="1" applyFill="1" applyAlignment="1" applyProtection="1">
      <alignment horizontal="center" vertical="center" wrapText="1"/>
      <protection hidden="1"/>
    </xf>
    <xf numFmtId="0" fontId="9" fillId="2" borderId="0" xfId="0" applyFont="1" applyFill="1" applyBorder="1" applyAlignment="1" applyProtection="1">
      <alignment horizontal="left"/>
      <protection hidden="1"/>
    </xf>
    <xf numFmtId="0" fontId="2" fillId="3" borderId="6" xfId="0" applyFont="1" applyFill="1" applyBorder="1" applyProtection="1">
      <protection hidden="1"/>
    </xf>
    <xf numFmtId="49" fontId="2" fillId="3" borderId="6" xfId="1" applyNumberFormat="1" applyFont="1" applyFill="1" applyBorder="1" applyAlignment="1" applyProtection="1">
      <alignment horizontal="left"/>
      <protection hidden="1"/>
    </xf>
    <xf numFmtId="43" fontId="2" fillId="3" borderId="6" xfId="1" applyFont="1" applyFill="1" applyBorder="1" applyProtection="1"/>
    <xf numFmtId="43" fontId="2" fillId="3" borderId="6" xfId="1" applyFont="1" applyFill="1" applyBorder="1" applyAlignment="1" applyProtection="1">
      <alignment vertical="center"/>
      <protection hidden="1"/>
    </xf>
    <xf numFmtId="49" fontId="2" fillId="3" borderId="6" xfId="1" applyNumberFormat="1" applyFont="1" applyFill="1" applyBorder="1" applyProtection="1"/>
    <xf numFmtId="43" fontId="2" fillId="3" borderId="6" xfId="1" applyFont="1" applyFill="1" applyBorder="1" applyAlignment="1" applyProtection="1">
      <alignment horizontal="left"/>
    </xf>
    <xf numFmtId="1" fontId="2" fillId="3" borderId="6" xfId="1" applyNumberFormat="1" applyFont="1" applyFill="1" applyBorder="1" applyAlignment="1" applyProtection="1">
      <alignment horizontal="left"/>
    </xf>
    <xf numFmtId="43" fontId="5" fillId="4" borderId="12" xfId="1" applyFont="1" applyFill="1" applyBorder="1" applyProtection="1">
      <protection hidden="1"/>
    </xf>
    <xf numFmtId="43" fontId="2" fillId="4" borderId="12" xfId="1" applyFont="1" applyFill="1" applyBorder="1" applyProtection="1">
      <protection hidden="1"/>
    </xf>
    <xf numFmtId="43" fontId="2" fillId="4" borderId="2" xfId="1" applyFont="1" applyFill="1" applyBorder="1" applyProtection="1">
      <protection hidden="1"/>
    </xf>
    <xf numFmtId="43" fontId="6" fillId="4" borderId="0" xfId="1" applyFont="1" applyFill="1" applyBorder="1" applyAlignment="1" applyProtection="1">
      <alignment vertical="center"/>
      <protection hidden="1"/>
    </xf>
    <xf numFmtId="43" fontId="6" fillId="4" borderId="2" xfId="1" applyFont="1" applyFill="1" applyBorder="1" applyProtection="1">
      <protection hidden="1"/>
    </xf>
    <xf numFmtId="43" fontId="2" fillId="4" borderId="1" xfId="1" applyFont="1" applyFill="1" applyBorder="1" applyProtection="1">
      <protection hidden="1"/>
    </xf>
    <xf numFmtId="43" fontId="6" fillId="4" borderId="2" xfId="1" applyFont="1" applyFill="1" applyBorder="1" applyAlignment="1" applyProtection="1">
      <alignment vertical="top" wrapText="1"/>
      <protection hidden="1"/>
    </xf>
    <xf numFmtId="43" fontId="2" fillId="4" borderId="2" xfId="1" applyFont="1" applyFill="1" applyBorder="1" applyAlignment="1" applyProtection="1">
      <alignment wrapText="1"/>
      <protection hidden="1"/>
    </xf>
    <xf numFmtId="43" fontId="6" fillId="4" borderId="2" xfId="1" applyFont="1" applyFill="1" applyBorder="1" applyAlignment="1" applyProtection="1">
      <alignment horizontal="left"/>
      <protection hidden="1"/>
    </xf>
    <xf numFmtId="43" fontId="6" fillId="4" borderId="2" xfId="1" applyFont="1" applyFill="1" applyBorder="1" applyAlignment="1" applyProtection="1">
      <protection hidden="1"/>
    </xf>
    <xf numFmtId="0" fontId="6" fillId="4" borderId="2" xfId="1" applyNumberFormat="1" applyFont="1" applyFill="1" applyBorder="1" applyProtection="1">
      <protection hidden="1"/>
    </xf>
    <xf numFmtId="0" fontId="2" fillId="4" borderId="2" xfId="1" applyNumberFormat="1" applyFont="1" applyFill="1" applyBorder="1" applyAlignment="1" applyProtection="1">
      <alignment wrapText="1"/>
      <protection hidden="1"/>
    </xf>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4.xml.rels><?xml version="1.0" encoding="UTF-8" standalone="yes"?>
<Relationships xmlns="http://schemas.openxmlformats.org/package/2006/relationships"><Relationship Id="rId1" Type="http://schemas.microsoft.com/office/2006/relationships/activeXControlBinary" Target="activeX3.bin"/></Relationships>
</file>

<file path=xl/activeX/_rels/activeX5.xml.rels><?xml version="1.0" encoding="UTF-8" standalone="yes"?>
<Relationships xmlns="http://schemas.openxmlformats.org/package/2006/relationships"><Relationship Id="rId1" Type="http://schemas.microsoft.com/office/2006/relationships/activeXControlBinary" Target="activeX4.bin"/></Relationships>
</file>

<file path=xl/activeX/_rels/activeX6.xml.rels><?xml version="1.0" encoding="UTF-8" standalone="yes"?>
<Relationships xmlns="http://schemas.openxmlformats.org/package/2006/relationships"><Relationship Id="rId1" Type="http://schemas.microsoft.com/office/2006/relationships/activeXControlBinary" Target="activeX5.bin"/></Relationships>
</file>

<file path=xl/activeX/_rels/activeX7.xml.rels><?xml version="1.0" encoding="UTF-8" standalone="yes"?>
<Relationships xmlns="http://schemas.openxmlformats.org/package/2006/relationships"><Relationship Id="rId1" Type="http://schemas.microsoft.com/office/2006/relationships/activeXControlBinary" Target="activeX6.bin"/></Relationships>
</file>

<file path=xl/activeX/_rels/activeX8.xml.rels><?xml version="1.0" encoding="UTF-8" standalone="yes"?>
<Relationships xmlns="http://schemas.openxmlformats.org/package/2006/relationships"><Relationship Id="rId1" Type="http://schemas.microsoft.com/office/2006/relationships/activeXControlBinary" Target="activeX7.bin"/></Relationships>
</file>

<file path=xl/activeX/_rels/activeX9.xml.rels><?xml version="1.0" encoding="UTF-8" standalone="yes"?>
<Relationships xmlns="http://schemas.openxmlformats.org/package/2006/relationships"><Relationship Id="rId1" Type="http://schemas.microsoft.com/office/2006/relationships/activeXControlBinary" Target="activeX8.bin"/></Relationships>
</file>

<file path=xl/activeX/_rels/activeX10.xml.rels><?xml version="1.0" encoding="UTF-8" standalone="yes"?>
<Relationships xmlns="http://schemas.openxmlformats.org/package/2006/relationships"><Relationship Id="rId1" Type="http://schemas.microsoft.com/office/2006/relationships/activeXControlBinary" Target="activeX9.bin"/></Relationships>
</file>

<file path=xl/activeX/_rels/activeX11.xml.rels><?xml version="1.0" encoding="UTF-8" standalone="yes"?>
<Relationships xmlns="http://schemas.openxmlformats.org/package/2006/relationships"><Relationship Id="rId1" Type="http://schemas.microsoft.com/office/2006/relationships/activeXControlBinary" Target="activeX10.bin"/></Relationships>
</file>

<file path=xl/activeX/_rels/activeX12.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20DD1B9E-87C4-11D1-8BE3-0000F8754DA1}" ax:license="651A8940-87C5-11d1-8BE3-0000F8754DA1" ax:persistence="persistPropertyBag">
  <ax:ocxPr ax:name="_ExtentX" ax:value="5965243"/>
  <ax:ocxPr ax:name="_ExtentY" ax:value="5965243"/>
  <ax:ocxPr ax:name="_Version" ax:value="393216"/>
  <ax:ocxPr ax:name="Font">
    <ax:font ax:persistence="persistPropertyBag">
      <ax:ocxPr ax:name="Name" ax:value="Times New Roman"/>
      <ax:ocxPr ax:name="Size" ax:value="15.75"/>
      <ax:ocxPr ax:name="Charset" ax:value="0"/>
      <ax:ocxPr ax:name="Weight" ax:value="400"/>
      <ax:ocxPr ax:name="Underline" ax:value="0"/>
      <ax:ocxPr ax:name="Italic" ax:value="0"/>
      <ax:ocxPr ax:name="Strikethrough" ax:value="0"/>
    </ax:font>
  </ax:ocxPr>
  <ax:ocxPr ax:name="Format" ax:value="346292225"/>
  <ax:ocxPr ax:name="CurrentDate" ax:value="36770"/>
  <ax:ocxPr ax:name="MaxDate" ax:value="37865"/>
</ax:ocx>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9.emf"/><Relationship Id="rId1" Type="http://schemas.openxmlformats.org/officeDocument/2006/relationships/image" Target="../media/image10.emf"/><Relationship Id="rId4"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6</xdr:row>
          <xdr:rowOff>38100</xdr:rowOff>
        </xdr:from>
        <xdr:to>
          <xdr:col>2</xdr:col>
          <xdr:colOff>1962150</xdr:colOff>
          <xdr:row>6</xdr:row>
          <xdr:rowOff>438150</xdr:rowOff>
        </xdr:to>
        <xdr:sp macro="" textlink="">
          <xdr:nvSpPr>
            <xdr:cNvPr id="5122" name="DTPicker1"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20</xdr:row>
          <xdr:rowOff>57150</xdr:rowOff>
        </xdr:from>
        <xdr:to>
          <xdr:col>2</xdr:col>
          <xdr:colOff>2571750</xdr:colOff>
          <xdr:row>20</xdr:row>
          <xdr:rowOff>381000</xdr:rowOff>
        </xdr:to>
        <xdr:sp macro="" textlink="">
          <xdr:nvSpPr>
            <xdr:cNvPr id="5127" name="next1btn" hidden="1">
              <a:extLst>
                <a:ext uri="{63B3BB69-23CF-44E3-9099-C40C66FF867C}">
                  <a14:compatExt spid="_x0000_s5127"/>
                </a:ext>
                <a:ext uri="{FF2B5EF4-FFF2-40B4-BE49-F238E27FC236}">
                  <a16:creationId xmlns:a16="http://schemas.microsoft.com/office/drawing/2014/main" id="{00000000-0008-0000-00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20</xdr:row>
          <xdr:rowOff>47625</xdr:rowOff>
        </xdr:from>
        <xdr:to>
          <xdr:col>1</xdr:col>
          <xdr:colOff>1990725</xdr:colOff>
          <xdr:row>20</xdr:row>
          <xdr:rowOff>390525</xdr:rowOff>
        </xdr:to>
        <xdr:sp macro="" textlink="">
          <xdr:nvSpPr>
            <xdr:cNvPr id="5128" name="resetbtn" hidden="1">
              <a:extLst>
                <a:ext uri="{63B3BB69-23CF-44E3-9099-C40C66FF867C}">
                  <a14:compatExt spid="_x0000_s5128"/>
                </a:ext>
                <a:ext uri="{FF2B5EF4-FFF2-40B4-BE49-F238E27FC236}">
                  <a16:creationId xmlns:a16="http://schemas.microsoft.com/office/drawing/2014/main" id="{00000000-0008-0000-00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16</xdr:row>
          <xdr:rowOff>123825</xdr:rowOff>
        </xdr:from>
        <xdr:to>
          <xdr:col>2</xdr:col>
          <xdr:colOff>2028825</xdr:colOff>
          <xdr:row>16</xdr:row>
          <xdr:rowOff>466725</xdr:rowOff>
        </xdr:to>
        <xdr:sp macro="" textlink="">
          <xdr:nvSpPr>
            <xdr:cNvPr id="6146" name="next2btn" hidden="1">
              <a:extLst>
                <a:ext uri="{63B3BB69-23CF-44E3-9099-C40C66FF867C}">
                  <a14:compatExt spid="_x0000_s6146"/>
                </a:ext>
                <a:ext uri="{FF2B5EF4-FFF2-40B4-BE49-F238E27FC236}">
                  <a16:creationId xmlns:a16="http://schemas.microsoft.com/office/drawing/2014/main" id="{00000000-0008-0000-01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16</xdr:row>
          <xdr:rowOff>152400</xdr:rowOff>
        </xdr:from>
        <xdr:to>
          <xdr:col>1</xdr:col>
          <xdr:colOff>1876425</xdr:colOff>
          <xdr:row>16</xdr:row>
          <xdr:rowOff>476250</xdr:rowOff>
        </xdr:to>
        <xdr:sp macro="" textlink="">
          <xdr:nvSpPr>
            <xdr:cNvPr id="6147" name="backl2btn" hidden="1">
              <a:extLst>
                <a:ext uri="{63B3BB69-23CF-44E3-9099-C40C66FF867C}">
                  <a14:compatExt spid="_x0000_s6147"/>
                </a:ext>
                <a:ext uri="{FF2B5EF4-FFF2-40B4-BE49-F238E27FC236}">
                  <a16:creationId xmlns:a16="http://schemas.microsoft.com/office/drawing/2014/main" id="{00000000-0008-0000-01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16</xdr:row>
          <xdr:rowOff>123825</xdr:rowOff>
        </xdr:from>
        <xdr:to>
          <xdr:col>5</xdr:col>
          <xdr:colOff>600075</xdr:colOff>
          <xdr:row>16</xdr:row>
          <xdr:rowOff>457200</xdr:rowOff>
        </xdr:to>
        <xdr:sp macro="" textlink="">
          <xdr:nvSpPr>
            <xdr:cNvPr id="6148" name="cancel2btn" hidden="1">
              <a:extLst>
                <a:ext uri="{63B3BB69-23CF-44E3-9099-C40C66FF867C}">
                  <a14:compatExt spid="_x0000_s6148"/>
                </a:ext>
                <a:ext uri="{FF2B5EF4-FFF2-40B4-BE49-F238E27FC236}">
                  <a16:creationId xmlns:a16="http://schemas.microsoft.com/office/drawing/2014/main" id="{00000000-0008-0000-01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123825</xdr:colOff>
          <xdr:row>103</xdr:row>
          <xdr:rowOff>190500</xdr:rowOff>
        </xdr:from>
        <xdr:to>
          <xdr:col>3</xdr:col>
          <xdr:colOff>2143125</xdr:colOff>
          <xdr:row>103</xdr:row>
          <xdr:rowOff>533400</xdr:rowOff>
        </xdr:to>
        <xdr:sp macro="" textlink="">
          <xdr:nvSpPr>
            <xdr:cNvPr id="7170" name="next3btn" hidden="1">
              <a:extLst>
                <a:ext uri="{63B3BB69-23CF-44E3-9099-C40C66FF867C}">
                  <a14:compatExt spid="_x0000_s7170"/>
                </a:ext>
                <a:ext uri="{FF2B5EF4-FFF2-40B4-BE49-F238E27FC236}">
                  <a16:creationId xmlns:a16="http://schemas.microsoft.com/office/drawing/2014/main" id="{00000000-0008-0000-02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103</xdr:row>
          <xdr:rowOff>219075</xdr:rowOff>
        </xdr:from>
        <xdr:to>
          <xdr:col>1</xdr:col>
          <xdr:colOff>2095500</xdr:colOff>
          <xdr:row>103</xdr:row>
          <xdr:rowOff>542925</xdr:rowOff>
        </xdr:to>
        <xdr:sp macro="" textlink="">
          <xdr:nvSpPr>
            <xdr:cNvPr id="7171" name="back3btn" hidden="1">
              <a:extLst>
                <a:ext uri="{63B3BB69-23CF-44E3-9099-C40C66FF867C}">
                  <a14:compatExt spid="_x0000_s7171"/>
                </a:ext>
                <a:ext uri="{FF2B5EF4-FFF2-40B4-BE49-F238E27FC236}">
                  <a16:creationId xmlns:a16="http://schemas.microsoft.com/office/drawing/2014/main" id="{00000000-0008-0000-02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103</xdr:row>
          <xdr:rowOff>171450</xdr:rowOff>
        </xdr:from>
        <xdr:to>
          <xdr:col>4</xdr:col>
          <xdr:colOff>1905000</xdr:colOff>
          <xdr:row>103</xdr:row>
          <xdr:rowOff>542925</xdr:rowOff>
        </xdr:to>
        <xdr:sp macro="" textlink="">
          <xdr:nvSpPr>
            <xdr:cNvPr id="7172" name="cancel3btn" hidden="1">
              <a:extLst>
                <a:ext uri="{63B3BB69-23CF-44E3-9099-C40C66FF867C}">
                  <a14:compatExt spid="_x0000_s7172"/>
                </a:ext>
                <a:ext uri="{FF2B5EF4-FFF2-40B4-BE49-F238E27FC236}">
                  <a16:creationId xmlns:a16="http://schemas.microsoft.com/office/drawing/2014/main" id="{00000000-0008-0000-02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103</xdr:row>
          <xdr:rowOff>190500</xdr:rowOff>
        </xdr:from>
        <xdr:to>
          <xdr:col>2</xdr:col>
          <xdr:colOff>2181225</xdr:colOff>
          <xdr:row>103</xdr:row>
          <xdr:rowOff>533400</xdr:rowOff>
        </xdr:to>
        <xdr:sp macro="" textlink="">
          <xdr:nvSpPr>
            <xdr:cNvPr id="7174" name="reset3btn" hidden="1">
              <a:extLst>
                <a:ext uri="{63B3BB69-23CF-44E3-9099-C40C66FF867C}">
                  <a14:compatExt spid="_x0000_s7174"/>
                </a:ext>
                <a:ext uri="{FF2B5EF4-FFF2-40B4-BE49-F238E27FC236}">
                  <a16:creationId xmlns:a16="http://schemas.microsoft.com/office/drawing/2014/main" id="{00000000-0008-0000-0200-00000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85725</xdr:colOff>
          <xdr:row>7</xdr:row>
          <xdr:rowOff>85725</xdr:rowOff>
        </xdr:from>
        <xdr:to>
          <xdr:col>0</xdr:col>
          <xdr:colOff>1552575</xdr:colOff>
          <xdr:row>7</xdr:row>
          <xdr:rowOff>400050</xdr:rowOff>
        </xdr:to>
        <xdr:sp macro="" textlink="">
          <xdr:nvSpPr>
            <xdr:cNvPr id="8193" name="back4btn"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7</xdr:row>
          <xdr:rowOff>66675</xdr:rowOff>
        </xdr:from>
        <xdr:to>
          <xdr:col>3</xdr:col>
          <xdr:colOff>1800225</xdr:colOff>
          <xdr:row>7</xdr:row>
          <xdr:rowOff>381000</xdr:rowOff>
        </xdr:to>
        <xdr:sp macro="" textlink="">
          <xdr:nvSpPr>
            <xdr:cNvPr id="8195" name="donebtn" hidden="1">
              <a:extLst>
                <a:ext uri="{63B3BB69-23CF-44E3-9099-C40C66FF867C}">
                  <a14:compatExt spid="_x0000_s8195"/>
                </a:ext>
                <a:ext uri="{FF2B5EF4-FFF2-40B4-BE49-F238E27FC236}">
                  <a16:creationId xmlns:a16="http://schemas.microsoft.com/office/drawing/2014/main" id="{00000000-0008-0000-03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5.xml"/><Relationship Id="rId5" Type="http://schemas.openxmlformats.org/officeDocument/2006/relationships/image" Target="../media/image4.emf"/><Relationship Id="rId4" Type="http://schemas.openxmlformats.org/officeDocument/2006/relationships/control" Target="../activeX/activeX4.xml"/><Relationship Id="rId9" Type="http://schemas.openxmlformats.org/officeDocument/2006/relationships/image" Target="../media/image6.emf"/></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8.xml"/><Relationship Id="rId11" Type="http://schemas.openxmlformats.org/officeDocument/2006/relationships/image" Target="../media/image10.emf"/><Relationship Id="rId5" Type="http://schemas.openxmlformats.org/officeDocument/2006/relationships/image" Target="../media/image7.emf"/><Relationship Id="rId10" Type="http://schemas.openxmlformats.org/officeDocument/2006/relationships/control" Target="../activeX/activeX10.xml"/><Relationship Id="rId4" Type="http://schemas.openxmlformats.org/officeDocument/2006/relationships/control" Target="../activeX/activeX7.xml"/><Relationship Id="rId9" Type="http://schemas.openxmlformats.org/officeDocument/2006/relationships/image" Target="../media/image9.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12.xml"/><Relationship Id="rId5" Type="http://schemas.openxmlformats.org/officeDocument/2006/relationships/image" Target="../media/image11.emf"/><Relationship Id="rId4" Type="http://schemas.openxmlformats.org/officeDocument/2006/relationships/control" Target="../activeX/activeX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54A20C-5036-44DA-8803-428325151DC5}">
  <sheetPr codeName="Sheet2"/>
  <dimension ref="A1:AM94"/>
  <sheetViews>
    <sheetView tabSelected="1" topLeftCell="A13" zoomScale="80" zoomScaleNormal="80" workbookViewId="0">
      <selection activeCell="C20" sqref="C20"/>
    </sheetView>
  </sheetViews>
  <sheetFormatPr defaultRowHeight="20.25" x14ac:dyDescent="0.3"/>
  <cols>
    <col min="1" max="1" width="5" style="128" customWidth="1"/>
    <col min="2" max="2" width="88.5703125" style="1" customWidth="1"/>
    <col min="3" max="3" width="65.5703125" style="1" customWidth="1"/>
    <col min="4" max="16384" width="9.140625" style="1"/>
  </cols>
  <sheetData>
    <row r="1" spans="1:39" ht="37.5" customHeight="1" x14ac:dyDescent="0.3">
      <c r="A1" s="165"/>
      <c r="B1" s="166" t="s">
        <v>0</v>
      </c>
      <c r="C1" s="167"/>
      <c r="D1" s="108"/>
      <c r="E1" s="108"/>
      <c r="F1" s="108"/>
      <c r="G1" s="108"/>
      <c r="H1" s="108"/>
      <c r="I1" s="108"/>
      <c r="J1" s="108"/>
      <c r="K1" s="108"/>
      <c r="L1" s="108"/>
      <c r="M1" s="108"/>
      <c r="N1" s="108"/>
      <c r="O1" s="108"/>
      <c r="P1" s="108"/>
      <c r="Q1" s="108"/>
      <c r="R1" s="108"/>
      <c r="S1" s="108"/>
      <c r="T1" s="108"/>
      <c r="U1" s="108"/>
      <c r="V1" s="108"/>
      <c r="W1" s="108"/>
      <c r="X1" s="108"/>
      <c r="Y1" s="108"/>
      <c r="Z1" s="108"/>
      <c r="AA1" s="108"/>
      <c r="AB1" s="108"/>
      <c r="AC1" s="108"/>
      <c r="AD1" s="108"/>
      <c r="AE1" s="108"/>
      <c r="AF1" s="108"/>
      <c r="AG1" s="108"/>
      <c r="AH1" s="108"/>
      <c r="AI1" s="108"/>
      <c r="AJ1" s="108"/>
      <c r="AK1" s="108"/>
      <c r="AL1" s="108"/>
      <c r="AM1" s="108"/>
    </row>
    <row r="2" spans="1:39" ht="30" customHeight="1" x14ac:dyDescent="0.3">
      <c r="A2" s="155" t="s">
        <v>97</v>
      </c>
      <c r="B2" s="156" t="s">
        <v>1</v>
      </c>
      <c r="C2" s="129" t="s">
        <v>107</v>
      </c>
      <c r="D2" s="108"/>
      <c r="E2" s="108"/>
      <c r="F2" s="108"/>
      <c r="G2" s="108"/>
      <c r="H2" s="108"/>
      <c r="I2" s="108"/>
      <c r="J2" s="108"/>
      <c r="K2" s="108"/>
      <c r="L2" s="108"/>
      <c r="M2" s="108"/>
      <c r="N2" s="108"/>
      <c r="O2" s="108"/>
      <c r="P2" s="108"/>
      <c r="Q2" s="108"/>
      <c r="R2" s="108"/>
      <c r="S2" s="108"/>
      <c r="T2" s="108"/>
      <c r="U2" s="108"/>
      <c r="V2" s="108"/>
      <c r="W2" s="108"/>
      <c r="X2" s="108"/>
      <c r="Y2" s="108"/>
      <c r="Z2" s="108"/>
      <c r="AA2" s="108"/>
      <c r="AB2" s="108"/>
      <c r="AC2" s="108"/>
      <c r="AD2" s="108"/>
      <c r="AE2" s="108"/>
      <c r="AF2" s="108"/>
      <c r="AG2" s="108"/>
      <c r="AH2" s="108"/>
      <c r="AI2" s="108"/>
      <c r="AJ2" s="108"/>
      <c r="AK2" s="108"/>
      <c r="AL2" s="108"/>
      <c r="AM2" s="108"/>
    </row>
    <row r="3" spans="1:39" ht="30" customHeight="1" x14ac:dyDescent="0.3">
      <c r="A3" s="155" t="s">
        <v>98</v>
      </c>
      <c r="B3" s="156" t="s">
        <v>2</v>
      </c>
      <c r="C3" s="192" t="s">
        <v>108</v>
      </c>
      <c r="D3" s="108"/>
      <c r="E3" s="108"/>
      <c r="F3" s="108"/>
      <c r="G3" s="108"/>
      <c r="H3" s="108"/>
      <c r="I3" s="108"/>
      <c r="J3" s="108"/>
      <c r="K3" s="108"/>
      <c r="L3" s="108"/>
      <c r="M3" s="108"/>
      <c r="N3" s="108"/>
      <c r="O3" s="108"/>
      <c r="P3" s="108"/>
      <c r="Q3" s="108"/>
      <c r="R3" s="108"/>
      <c r="S3" s="108"/>
      <c r="T3" s="108"/>
      <c r="U3" s="108"/>
      <c r="V3" s="108"/>
      <c r="W3" s="108"/>
      <c r="X3" s="108"/>
      <c r="Y3" s="108"/>
      <c r="Z3" s="108"/>
      <c r="AA3" s="108"/>
      <c r="AB3" s="108"/>
      <c r="AC3" s="108"/>
      <c r="AD3" s="108"/>
      <c r="AE3" s="108"/>
      <c r="AF3" s="108"/>
      <c r="AG3" s="108"/>
      <c r="AH3" s="108"/>
      <c r="AI3" s="108"/>
      <c r="AJ3" s="108"/>
      <c r="AK3" s="108"/>
      <c r="AL3" s="108"/>
      <c r="AM3" s="108"/>
    </row>
    <row r="4" spans="1:39" ht="30" customHeight="1" x14ac:dyDescent="0.3">
      <c r="A4" s="155" t="s">
        <v>99</v>
      </c>
      <c r="B4" s="156" t="s">
        <v>91</v>
      </c>
      <c r="C4" s="193" t="s">
        <v>109</v>
      </c>
      <c r="D4" s="2"/>
      <c r="E4" s="108"/>
      <c r="F4" s="108"/>
      <c r="G4" s="108"/>
      <c r="H4" s="108"/>
      <c r="I4" s="108"/>
      <c r="J4" s="108"/>
      <c r="K4" s="108"/>
      <c r="L4" s="108"/>
      <c r="M4" s="108"/>
      <c r="N4" s="108"/>
      <c r="O4" s="108"/>
      <c r="P4" s="108"/>
      <c r="Q4" s="108"/>
      <c r="R4" s="108"/>
      <c r="S4" s="108"/>
      <c r="T4" s="108"/>
      <c r="U4" s="108"/>
      <c r="V4" s="108"/>
      <c r="W4" s="108"/>
      <c r="X4" s="108"/>
      <c r="Y4" s="108"/>
      <c r="Z4" s="108"/>
      <c r="AA4" s="108"/>
      <c r="AB4" s="108"/>
      <c r="AC4" s="108"/>
      <c r="AD4" s="108"/>
      <c r="AE4" s="108"/>
      <c r="AF4" s="108"/>
      <c r="AG4" s="108"/>
      <c r="AH4" s="108"/>
      <c r="AI4" s="108"/>
      <c r="AJ4" s="108"/>
      <c r="AK4" s="108"/>
      <c r="AL4" s="108"/>
      <c r="AM4" s="108"/>
    </row>
    <row r="5" spans="1:39" x14ac:dyDescent="0.3">
      <c r="A5" s="155" t="s">
        <v>60</v>
      </c>
      <c r="B5" s="156" t="s">
        <v>3</v>
      </c>
      <c r="C5" s="194" t="s">
        <v>3</v>
      </c>
      <c r="D5" s="108"/>
      <c r="E5" s="108"/>
      <c r="F5" s="108"/>
      <c r="G5" s="108"/>
      <c r="H5" s="108"/>
      <c r="I5" s="108"/>
      <c r="J5" s="108"/>
      <c r="K5" s="108"/>
      <c r="L5" s="108"/>
      <c r="M5" s="108"/>
      <c r="N5" s="108"/>
      <c r="O5" s="108"/>
      <c r="P5" s="108"/>
      <c r="Q5" s="108"/>
      <c r="R5" s="108"/>
      <c r="S5" s="108"/>
      <c r="T5" s="108"/>
      <c r="U5" s="108"/>
      <c r="V5" s="108"/>
      <c r="W5" s="108"/>
      <c r="X5" s="108"/>
      <c r="Y5" s="108"/>
      <c r="Z5" s="108"/>
      <c r="AA5" s="108"/>
      <c r="AB5" s="108"/>
      <c r="AC5" s="108"/>
      <c r="AD5" s="108"/>
      <c r="AE5" s="108"/>
      <c r="AF5" s="108"/>
      <c r="AG5" s="108"/>
      <c r="AH5" s="108"/>
      <c r="AI5" s="108"/>
      <c r="AJ5" s="108"/>
      <c r="AK5" s="108"/>
      <c r="AL5" s="108"/>
      <c r="AM5" s="108"/>
    </row>
    <row r="6" spans="1:39" x14ac:dyDescent="0.3">
      <c r="A6" s="155" t="s">
        <v>61</v>
      </c>
      <c r="B6" s="156" t="s">
        <v>4</v>
      </c>
      <c r="C6" s="195" t="s">
        <v>77</v>
      </c>
      <c r="D6" s="3"/>
      <c r="E6" s="108"/>
      <c r="F6" s="108"/>
      <c r="G6" s="108"/>
      <c r="H6" s="108"/>
      <c r="I6" s="108"/>
      <c r="J6" s="108"/>
      <c r="K6" s="108"/>
      <c r="L6" s="108"/>
      <c r="M6" s="108"/>
      <c r="N6" s="108"/>
      <c r="O6" s="108"/>
      <c r="P6" s="108"/>
      <c r="Q6" s="108"/>
      <c r="R6" s="108"/>
      <c r="S6" s="108"/>
      <c r="T6" s="108"/>
      <c r="U6" s="108"/>
      <c r="V6" s="108"/>
      <c r="W6" s="108"/>
      <c r="X6" s="108"/>
      <c r="Y6" s="108"/>
      <c r="Z6" s="108"/>
      <c r="AA6" s="108"/>
      <c r="AB6" s="108"/>
      <c r="AC6" s="108"/>
      <c r="AD6" s="108"/>
      <c r="AE6" s="108"/>
      <c r="AF6" s="108"/>
      <c r="AG6" s="108"/>
      <c r="AH6" s="108"/>
      <c r="AI6" s="108"/>
      <c r="AJ6" s="108"/>
      <c r="AK6" s="108"/>
      <c r="AL6" s="108"/>
      <c r="AM6" s="108"/>
    </row>
    <row r="7" spans="1:39" ht="36" customHeight="1" x14ac:dyDescent="0.3">
      <c r="A7" s="155" t="s">
        <v>62</v>
      </c>
      <c r="B7" s="156" t="s">
        <v>92</v>
      </c>
      <c r="C7" s="129"/>
      <c r="D7" s="107"/>
      <c r="E7" s="107"/>
      <c r="F7" s="108"/>
      <c r="G7" s="108"/>
      <c r="H7" s="108"/>
      <c r="I7" s="108"/>
      <c r="J7" s="108"/>
      <c r="K7" s="108"/>
      <c r="L7" s="108"/>
      <c r="M7" s="108"/>
      <c r="N7" s="108"/>
      <c r="O7" s="108"/>
      <c r="P7" s="108"/>
      <c r="Q7" s="108"/>
      <c r="R7" s="108"/>
      <c r="S7" s="108"/>
      <c r="T7" s="108"/>
      <c r="U7" s="108"/>
      <c r="V7" s="108"/>
      <c r="W7" s="108"/>
      <c r="X7" s="108"/>
      <c r="Y7" s="108"/>
      <c r="Z7" s="108"/>
      <c r="AA7" s="108"/>
      <c r="AB7" s="108"/>
      <c r="AC7" s="108"/>
      <c r="AD7" s="108"/>
      <c r="AE7" s="108"/>
      <c r="AF7" s="108"/>
      <c r="AG7" s="108"/>
      <c r="AH7" s="108"/>
      <c r="AI7" s="108"/>
      <c r="AJ7" s="108"/>
      <c r="AK7" s="108"/>
      <c r="AL7" s="108"/>
      <c r="AM7" s="108"/>
    </row>
    <row r="8" spans="1:39" ht="30" customHeight="1" x14ac:dyDescent="0.3">
      <c r="A8" s="155" t="s">
        <v>87</v>
      </c>
      <c r="B8" s="156" t="s">
        <v>5</v>
      </c>
      <c r="C8" s="194" t="s">
        <v>110</v>
      </c>
      <c r="D8" s="107"/>
      <c r="E8" s="107"/>
      <c r="F8" s="108"/>
      <c r="G8" s="108"/>
      <c r="H8" s="108"/>
      <c r="I8" s="108"/>
      <c r="J8" s="108"/>
      <c r="K8" s="108"/>
      <c r="L8" s="108"/>
      <c r="M8" s="108"/>
      <c r="N8" s="108"/>
      <c r="O8" s="108"/>
      <c r="P8" s="108"/>
      <c r="Q8" s="108"/>
      <c r="R8" s="108"/>
      <c r="S8" s="108"/>
      <c r="T8" s="108"/>
      <c r="U8" s="108"/>
      <c r="V8" s="108"/>
      <c r="W8" s="108"/>
      <c r="X8" s="108"/>
      <c r="Y8" s="108"/>
      <c r="Z8" s="108"/>
      <c r="AA8" s="108"/>
      <c r="AB8" s="108"/>
      <c r="AC8" s="108"/>
      <c r="AD8" s="108"/>
      <c r="AE8" s="108"/>
      <c r="AF8" s="108"/>
      <c r="AG8" s="108"/>
      <c r="AH8" s="108"/>
      <c r="AI8" s="108"/>
      <c r="AJ8" s="108"/>
      <c r="AK8" s="108"/>
      <c r="AL8" s="108"/>
      <c r="AM8" s="108"/>
    </row>
    <row r="9" spans="1:39" ht="30" customHeight="1" x14ac:dyDescent="0.3">
      <c r="A9" s="155" t="s">
        <v>100</v>
      </c>
      <c r="B9" s="156" t="s">
        <v>6</v>
      </c>
      <c r="C9" s="194" t="s">
        <v>111</v>
      </c>
      <c r="D9" s="107"/>
      <c r="E9" s="107"/>
      <c r="F9" s="108"/>
      <c r="G9" s="108"/>
      <c r="H9" s="108"/>
      <c r="I9" s="108"/>
      <c r="J9" s="108"/>
      <c r="K9" s="108"/>
      <c r="L9" s="108"/>
      <c r="M9" s="108"/>
      <c r="N9" s="108"/>
      <c r="O9" s="108"/>
      <c r="P9" s="108"/>
      <c r="Q9" s="108"/>
      <c r="R9" s="108"/>
      <c r="S9" s="108"/>
      <c r="T9" s="108"/>
      <c r="U9" s="108"/>
      <c r="V9" s="108"/>
      <c r="W9" s="108"/>
      <c r="X9" s="108"/>
      <c r="Y9" s="108"/>
      <c r="Z9" s="108"/>
      <c r="AA9" s="108"/>
      <c r="AB9" s="108"/>
      <c r="AC9" s="108"/>
      <c r="AD9" s="108"/>
      <c r="AE9" s="108"/>
      <c r="AF9" s="108"/>
      <c r="AG9" s="108"/>
      <c r="AH9" s="108"/>
      <c r="AI9" s="108"/>
      <c r="AJ9" s="108"/>
      <c r="AK9" s="108"/>
      <c r="AL9" s="108"/>
      <c r="AM9" s="108"/>
    </row>
    <row r="10" spans="1:39" x14ac:dyDescent="0.3">
      <c r="A10" s="155"/>
      <c r="B10" s="157"/>
      <c r="C10" s="158"/>
      <c r="D10" s="107"/>
      <c r="E10" s="107"/>
      <c r="F10" s="108"/>
      <c r="G10" s="108"/>
      <c r="H10" s="108"/>
      <c r="I10" s="108"/>
      <c r="J10" s="108"/>
      <c r="K10" s="108"/>
      <c r="L10" s="108"/>
      <c r="M10" s="108"/>
      <c r="N10" s="108"/>
      <c r="O10" s="108"/>
      <c r="P10" s="108"/>
      <c r="Q10" s="108"/>
      <c r="R10" s="108"/>
      <c r="S10" s="108"/>
      <c r="T10" s="108"/>
      <c r="U10" s="108"/>
      <c r="V10" s="108"/>
      <c r="W10" s="108"/>
      <c r="X10" s="108"/>
      <c r="Y10" s="108"/>
      <c r="Z10" s="108"/>
      <c r="AA10" s="108"/>
      <c r="AB10" s="108"/>
      <c r="AC10" s="108"/>
      <c r="AD10" s="108"/>
      <c r="AE10" s="108"/>
      <c r="AF10" s="108"/>
      <c r="AG10" s="108"/>
      <c r="AH10" s="108"/>
      <c r="AI10" s="108"/>
      <c r="AJ10" s="108"/>
      <c r="AK10" s="108"/>
      <c r="AL10" s="108"/>
      <c r="AM10" s="108"/>
    </row>
    <row r="11" spans="1:39" ht="30" customHeight="1" x14ac:dyDescent="0.3">
      <c r="A11" s="155" t="s">
        <v>101</v>
      </c>
      <c r="B11" s="156" t="s">
        <v>7</v>
      </c>
      <c r="C11" s="196" t="s">
        <v>112</v>
      </c>
      <c r="D11" s="159"/>
      <c r="E11" s="107"/>
      <c r="F11" s="108"/>
      <c r="G11" s="108"/>
      <c r="H11" s="108"/>
      <c r="I11" s="108"/>
      <c r="J11" s="108"/>
      <c r="K11" s="108"/>
      <c r="L11" s="108"/>
      <c r="M11" s="108"/>
      <c r="N11" s="108"/>
      <c r="O11" s="108"/>
      <c r="P11" s="108"/>
      <c r="Q11" s="108"/>
      <c r="R11" s="108"/>
      <c r="S11" s="108"/>
      <c r="T11" s="108"/>
      <c r="U11" s="108"/>
      <c r="V11" s="108"/>
      <c r="W11" s="108"/>
      <c r="X11" s="108"/>
      <c r="Y11" s="108"/>
      <c r="Z11" s="108"/>
      <c r="AA11" s="108"/>
      <c r="AB11" s="108"/>
      <c r="AC11" s="108"/>
      <c r="AD11" s="108"/>
      <c r="AE11" s="108"/>
      <c r="AF11" s="108"/>
      <c r="AG11" s="108"/>
      <c r="AH11" s="108"/>
      <c r="AI11" s="108"/>
      <c r="AJ11" s="108"/>
      <c r="AK11" s="108"/>
      <c r="AL11" s="108"/>
      <c r="AM11" s="108"/>
    </row>
    <row r="12" spans="1:39" ht="30" customHeight="1" x14ac:dyDescent="0.3">
      <c r="A12" s="155" t="s">
        <v>88</v>
      </c>
      <c r="B12" s="156" t="s">
        <v>93</v>
      </c>
      <c r="C12" s="197" t="s">
        <v>79</v>
      </c>
      <c r="D12" s="2"/>
      <c r="E12" s="107"/>
      <c r="F12" s="108"/>
      <c r="G12" s="108"/>
      <c r="H12" s="108"/>
      <c r="I12" s="108"/>
      <c r="J12" s="108"/>
      <c r="K12" s="108"/>
      <c r="L12" s="108"/>
      <c r="M12" s="108"/>
      <c r="N12" s="108"/>
      <c r="O12" s="108"/>
      <c r="P12" s="108"/>
      <c r="Q12" s="108"/>
      <c r="R12" s="108"/>
      <c r="S12" s="108"/>
      <c r="T12" s="108"/>
      <c r="U12" s="108"/>
      <c r="V12" s="108"/>
      <c r="W12" s="108"/>
      <c r="X12" s="108"/>
      <c r="Y12" s="108"/>
      <c r="Z12" s="108"/>
      <c r="AA12" s="108"/>
      <c r="AB12" s="108"/>
      <c r="AC12" s="108"/>
      <c r="AD12" s="108"/>
      <c r="AE12" s="108"/>
      <c r="AF12" s="108"/>
      <c r="AG12" s="108"/>
      <c r="AH12" s="108"/>
      <c r="AI12" s="108"/>
      <c r="AJ12" s="108"/>
      <c r="AK12" s="108"/>
      <c r="AL12" s="108"/>
      <c r="AM12" s="108"/>
    </row>
    <row r="13" spans="1:39" ht="27" customHeight="1" x14ac:dyDescent="0.3">
      <c r="A13" s="155" t="s">
        <v>89</v>
      </c>
      <c r="B13" s="156" t="s">
        <v>94</v>
      </c>
      <c r="C13" s="194" t="s">
        <v>79</v>
      </c>
      <c r="D13" s="107"/>
      <c r="E13" s="107"/>
      <c r="F13" s="108"/>
      <c r="G13" s="108"/>
      <c r="H13" s="108"/>
      <c r="I13" s="108"/>
      <c r="J13" s="108"/>
      <c r="K13" s="108"/>
      <c r="L13" s="108"/>
      <c r="M13" s="108"/>
      <c r="N13" s="108"/>
      <c r="O13" s="108"/>
      <c r="P13" s="108"/>
      <c r="Q13" s="108"/>
      <c r="R13" s="108"/>
      <c r="S13" s="108"/>
      <c r="T13" s="108"/>
      <c r="U13" s="108"/>
      <c r="V13" s="108"/>
      <c r="W13" s="108"/>
      <c r="X13" s="108"/>
      <c r="Y13" s="108"/>
      <c r="Z13" s="108"/>
      <c r="AA13" s="108"/>
      <c r="AB13" s="108"/>
      <c r="AC13" s="108"/>
      <c r="AD13" s="108"/>
      <c r="AE13" s="108"/>
      <c r="AF13" s="108"/>
      <c r="AG13" s="108"/>
      <c r="AH13" s="108"/>
      <c r="AI13" s="108"/>
      <c r="AJ13" s="108"/>
      <c r="AK13" s="108"/>
      <c r="AL13" s="108"/>
      <c r="AM13" s="108"/>
    </row>
    <row r="14" spans="1:39" x14ac:dyDescent="0.3">
      <c r="A14" s="160"/>
      <c r="B14" s="157"/>
      <c r="C14" s="158"/>
      <c r="D14" s="107"/>
      <c r="E14" s="107"/>
      <c r="F14" s="108"/>
      <c r="G14" s="108"/>
      <c r="H14" s="108"/>
      <c r="I14" s="108"/>
      <c r="J14" s="108"/>
      <c r="K14" s="108"/>
      <c r="L14" s="108"/>
      <c r="M14" s="108"/>
      <c r="N14" s="108"/>
      <c r="O14" s="108"/>
      <c r="P14" s="108"/>
      <c r="Q14" s="108"/>
      <c r="R14" s="108"/>
      <c r="S14" s="108"/>
      <c r="T14" s="108"/>
      <c r="U14" s="108"/>
      <c r="V14" s="108"/>
      <c r="W14" s="108"/>
      <c r="X14" s="108"/>
      <c r="Y14" s="108"/>
      <c r="Z14" s="108"/>
      <c r="AA14" s="108"/>
      <c r="AB14" s="108"/>
      <c r="AC14" s="108"/>
      <c r="AD14" s="108"/>
      <c r="AE14" s="108"/>
      <c r="AF14" s="108"/>
      <c r="AG14" s="108"/>
      <c r="AH14" s="108"/>
      <c r="AI14" s="108"/>
      <c r="AJ14" s="108"/>
      <c r="AK14" s="108"/>
      <c r="AL14" s="108"/>
      <c r="AM14" s="108"/>
    </row>
    <row r="15" spans="1:39" ht="30" customHeight="1" x14ac:dyDescent="0.3">
      <c r="A15" s="155" t="s">
        <v>102</v>
      </c>
      <c r="B15" s="156" t="s">
        <v>8</v>
      </c>
      <c r="C15" s="198">
        <v>1234567890</v>
      </c>
      <c r="D15" s="107"/>
      <c r="E15" s="107"/>
      <c r="F15" s="108"/>
      <c r="G15" s="108"/>
      <c r="H15" s="108"/>
      <c r="I15" s="108"/>
      <c r="J15" s="108"/>
      <c r="K15" s="108"/>
      <c r="L15" s="108"/>
      <c r="M15" s="108"/>
      <c r="N15" s="108"/>
      <c r="O15" s="108"/>
      <c r="P15" s="108"/>
      <c r="Q15" s="108"/>
      <c r="R15" s="108"/>
      <c r="S15" s="108"/>
      <c r="T15" s="108"/>
      <c r="U15" s="108"/>
      <c r="V15" s="108"/>
      <c r="W15" s="108"/>
      <c r="X15" s="108"/>
      <c r="Y15" s="108"/>
      <c r="Z15" s="108"/>
      <c r="AA15" s="108"/>
      <c r="AB15" s="108"/>
      <c r="AC15" s="108"/>
      <c r="AD15" s="108"/>
      <c r="AE15" s="108"/>
      <c r="AF15" s="108"/>
      <c r="AG15" s="108"/>
      <c r="AH15" s="108"/>
      <c r="AI15" s="108"/>
      <c r="AJ15" s="108"/>
      <c r="AK15" s="108"/>
      <c r="AL15" s="108"/>
      <c r="AM15" s="108"/>
    </row>
    <row r="16" spans="1:39" ht="30" customHeight="1" x14ac:dyDescent="0.3">
      <c r="A16" s="155" t="s">
        <v>90</v>
      </c>
      <c r="B16" s="156" t="s">
        <v>95</v>
      </c>
      <c r="C16" s="194" t="s">
        <v>77</v>
      </c>
      <c r="D16" s="107"/>
      <c r="E16" s="107"/>
      <c r="F16" s="108"/>
      <c r="G16" s="108"/>
      <c r="H16" s="108"/>
      <c r="I16" s="108"/>
      <c r="J16" s="108"/>
      <c r="K16" s="108"/>
      <c r="L16" s="108"/>
      <c r="M16" s="108"/>
      <c r="N16" s="108"/>
      <c r="O16" s="108"/>
      <c r="P16" s="108"/>
      <c r="Q16" s="108"/>
      <c r="R16" s="108"/>
      <c r="S16" s="108"/>
      <c r="T16" s="108"/>
      <c r="U16" s="108"/>
      <c r="V16" s="108"/>
      <c r="W16" s="108"/>
      <c r="X16" s="108"/>
      <c r="Y16" s="108"/>
      <c r="Z16" s="108"/>
      <c r="AA16" s="108"/>
      <c r="AB16" s="108"/>
      <c r="AC16" s="108"/>
      <c r="AD16" s="108"/>
      <c r="AE16" s="108"/>
      <c r="AF16" s="108"/>
      <c r="AG16" s="108"/>
      <c r="AH16" s="108"/>
      <c r="AI16" s="108"/>
      <c r="AJ16" s="108"/>
      <c r="AK16" s="108"/>
      <c r="AL16" s="108"/>
      <c r="AM16" s="108"/>
    </row>
    <row r="17" spans="1:39" x14ac:dyDescent="0.3">
      <c r="A17" s="155"/>
      <c r="B17" s="156"/>
      <c r="C17" s="156"/>
      <c r="D17" s="107"/>
      <c r="E17" s="107"/>
      <c r="F17" s="108"/>
      <c r="G17" s="108"/>
      <c r="H17" s="108"/>
      <c r="I17" s="108"/>
      <c r="J17" s="108"/>
      <c r="K17" s="108"/>
      <c r="L17" s="108"/>
      <c r="M17" s="108"/>
      <c r="N17" s="108"/>
      <c r="O17" s="108"/>
      <c r="P17" s="108"/>
      <c r="Q17" s="108"/>
      <c r="R17" s="108"/>
      <c r="S17" s="108"/>
      <c r="T17" s="108"/>
      <c r="U17" s="108"/>
      <c r="V17" s="108"/>
      <c r="W17" s="108"/>
      <c r="X17" s="108"/>
      <c r="Y17" s="108"/>
      <c r="Z17" s="108"/>
      <c r="AA17" s="108"/>
      <c r="AB17" s="108"/>
      <c r="AC17" s="108"/>
      <c r="AD17" s="108"/>
      <c r="AE17" s="108"/>
      <c r="AF17" s="108"/>
      <c r="AG17" s="108"/>
      <c r="AH17" s="108"/>
      <c r="AI17" s="108"/>
      <c r="AJ17" s="108"/>
      <c r="AK17" s="108"/>
      <c r="AL17" s="108"/>
      <c r="AM17" s="108"/>
    </row>
    <row r="18" spans="1:39" ht="33" customHeight="1" x14ac:dyDescent="0.3">
      <c r="A18" s="160"/>
      <c r="B18" s="161" t="s">
        <v>78</v>
      </c>
      <c r="C18" s="130"/>
      <c r="D18" s="107"/>
      <c r="E18" s="107"/>
      <c r="F18" s="108"/>
      <c r="G18" s="108"/>
      <c r="H18" s="108"/>
      <c r="I18" s="108"/>
      <c r="J18" s="108"/>
      <c r="K18" s="108"/>
      <c r="L18" s="108"/>
      <c r="M18" s="108"/>
      <c r="N18" s="108"/>
      <c r="O18" s="108"/>
      <c r="P18" s="108"/>
      <c r="Q18" s="108"/>
      <c r="R18" s="108"/>
      <c r="S18" s="108"/>
      <c r="T18" s="108"/>
      <c r="U18" s="108"/>
      <c r="V18" s="108"/>
      <c r="W18" s="108"/>
      <c r="X18" s="108"/>
      <c r="Y18" s="108"/>
      <c r="Z18" s="108"/>
      <c r="AA18" s="108"/>
      <c r="AB18" s="108"/>
      <c r="AC18" s="108"/>
      <c r="AD18" s="108"/>
      <c r="AE18" s="108"/>
      <c r="AF18" s="108"/>
      <c r="AG18" s="108"/>
      <c r="AH18" s="108"/>
      <c r="AI18" s="108"/>
      <c r="AJ18" s="108"/>
      <c r="AK18" s="108"/>
      <c r="AL18" s="108"/>
      <c r="AM18" s="108"/>
    </row>
    <row r="19" spans="1:39" ht="30" customHeight="1" x14ac:dyDescent="0.3">
      <c r="A19" s="155" t="s">
        <v>103</v>
      </c>
      <c r="B19" s="156" t="s">
        <v>9</v>
      </c>
      <c r="C19" s="194" t="s">
        <v>113</v>
      </c>
      <c r="D19" s="108"/>
      <c r="E19" s="108"/>
      <c r="F19" s="108"/>
      <c r="G19" s="108"/>
      <c r="H19" s="108"/>
      <c r="I19" s="108"/>
      <c r="J19" s="108"/>
      <c r="K19" s="108"/>
      <c r="L19" s="108"/>
      <c r="M19" s="108"/>
      <c r="N19" s="108"/>
      <c r="O19" s="108"/>
      <c r="P19" s="108"/>
      <c r="Q19" s="108"/>
      <c r="R19" s="108"/>
      <c r="S19" s="108"/>
      <c r="T19" s="108"/>
      <c r="U19" s="108"/>
      <c r="V19" s="108"/>
      <c r="W19" s="108"/>
      <c r="X19" s="108"/>
      <c r="Y19" s="108"/>
      <c r="Z19" s="108"/>
      <c r="AA19" s="108"/>
      <c r="AB19" s="108"/>
      <c r="AC19" s="108"/>
      <c r="AD19" s="108"/>
      <c r="AE19" s="108"/>
      <c r="AF19" s="108"/>
      <c r="AG19" s="108"/>
      <c r="AH19" s="108"/>
      <c r="AI19" s="108"/>
      <c r="AJ19" s="108"/>
      <c r="AK19" s="108"/>
      <c r="AL19" s="108"/>
      <c r="AM19" s="108"/>
    </row>
    <row r="20" spans="1:39" ht="30" customHeight="1" x14ac:dyDescent="0.3">
      <c r="A20" s="155" t="s">
        <v>104</v>
      </c>
      <c r="B20" s="156" t="s">
        <v>96</v>
      </c>
      <c r="C20" s="198">
        <v>6493132324</v>
      </c>
      <c r="D20" s="107"/>
      <c r="E20" s="108"/>
      <c r="F20" s="108"/>
      <c r="G20" s="108"/>
      <c r="H20" s="108"/>
      <c r="I20" s="108"/>
      <c r="J20" s="108"/>
      <c r="K20" s="108"/>
      <c r="L20" s="108"/>
      <c r="M20" s="108"/>
      <c r="N20" s="108"/>
      <c r="O20" s="108"/>
      <c r="P20" s="108"/>
      <c r="Q20" s="108"/>
      <c r="R20" s="108"/>
      <c r="S20" s="108"/>
      <c r="T20" s="108"/>
      <c r="U20" s="108"/>
      <c r="V20" s="108"/>
      <c r="W20" s="108"/>
      <c r="X20" s="108"/>
      <c r="Y20" s="108"/>
      <c r="Z20" s="108"/>
      <c r="AA20" s="108"/>
      <c r="AB20" s="108"/>
      <c r="AC20" s="108"/>
      <c r="AD20" s="108"/>
      <c r="AE20" s="108"/>
      <c r="AF20" s="108"/>
      <c r="AG20" s="108"/>
      <c r="AH20" s="108"/>
      <c r="AI20" s="108"/>
      <c r="AJ20" s="108"/>
      <c r="AK20" s="108"/>
      <c r="AL20" s="108"/>
      <c r="AM20" s="108"/>
    </row>
    <row r="21" spans="1:39" ht="34.5" customHeight="1" x14ac:dyDescent="0.3">
      <c r="A21" s="162"/>
      <c r="B21" s="108"/>
      <c r="C21" s="163"/>
      <c r="D21" s="107"/>
      <c r="E21" s="108"/>
      <c r="F21" s="108"/>
      <c r="G21" s="108"/>
      <c r="H21" s="108"/>
      <c r="I21" s="108"/>
      <c r="J21" s="108"/>
      <c r="K21" s="108"/>
      <c r="L21" s="108"/>
      <c r="M21" s="108"/>
      <c r="N21" s="108"/>
      <c r="O21" s="108"/>
      <c r="P21" s="108"/>
      <c r="Q21" s="108"/>
      <c r="R21" s="108"/>
      <c r="S21" s="108"/>
      <c r="T21" s="108"/>
      <c r="U21" s="108"/>
      <c r="V21" s="108"/>
      <c r="W21" s="108"/>
      <c r="X21" s="108"/>
      <c r="Y21" s="108"/>
      <c r="Z21" s="108"/>
      <c r="AA21" s="108"/>
      <c r="AB21" s="108"/>
      <c r="AC21" s="108"/>
      <c r="AD21" s="108"/>
      <c r="AE21" s="108"/>
      <c r="AF21" s="108"/>
      <c r="AG21" s="108"/>
      <c r="AH21" s="108"/>
      <c r="AI21" s="108"/>
      <c r="AJ21" s="108"/>
      <c r="AK21" s="108"/>
      <c r="AL21" s="108"/>
      <c r="AM21" s="108"/>
    </row>
    <row r="22" spans="1:39" x14ac:dyDescent="0.3">
      <c r="A22" s="162"/>
      <c r="B22" s="164" t="s">
        <v>105</v>
      </c>
      <c r="C22" s="108"/>
      <c r="D22" s="108"/>
      <c r="E22" s="108"/>
      <c r="F22" s="108"/>
      <c r="G22" s="108"/>
      <c r="H22" s="108"/>
      <c r="I22" s="108"/>
      <c r="J22" s="108"/>
      <c r="K22" s="108"/>
      <c r="L22" s="108"/>
      <c r="M22" s="108"/>
      <c r="N22" s="108"/>
      <c r="O22" s="108"/>
      <c r="P22" s="108"/>
      <c r="Q22" s="108"/>
      <c r="R22" s="108"/>
      <c r="S22" s="108"/>
      <c r="T22" s="108"/>
      <c r="U22" s="108"/>
      <c r="V22" s="108"/>
      <c r="W22" s="108"/>
      <c r="X22" s="108"/>
      <c r="Y22" s="108"/>
      <c r="Z22" s="108"/>
      <c r="AA22" s="108"/>
      <c r="AB22" s="108"/>
      <c r="AC22" s="108"/>
      <c r="AD22" s="108"/>
      <c r="AE22" s="108"/>
      <c r="AF22" s="108"/>
      <c r="AG22" s="108"/>
      <c r="AH22" s="108"/>
      <c r="AI22" s="108"/>
      <c r="AJ22" s="108"/>
      <c r="AK22" s="108"/>
      <c r="AL22" s="108"/>
      <c r="AM22" s="108"/>
    </row>
    <row r="23" spans="1:39" x14ac:dyDescent="0.3">
      <c r="A23" s="162"/>
      <c r="B23" s="108"/>
      <c r="C23" s="108"/>
      <c r="D23" s="108"/>
      <c r="E23" s="108"/>
      <c r="F23" s="108"/>
      <c r="G23" s="108"/>
      <c r="H23" s="108"/>
      <c r="I23" s="108"/>
      <c r="J23" s="108"/>
      <c r="K23" s="108"/>
      <c r="L23" s="108"/>
      <c r="M23" s="108"/>
      <c r="N23" s="108"/>
      <c r="O23" s="108"/>
      <c r="P23" s="108"/>
      <c r="Q23" s="108"/>
      <c r="R23" s="108"/>
      <c r="S23" s="108"/>
      <c r="T23" s="108"/>
      <c r="U23" s="108"/>
      <c r="V23" s="108"/>
      <c r="W23" s="108"/>
      <c r="X23" s="108"/>
      <c r="Y23" s="108"/>
      <c r="Z23" s="108"/>
      <c r="AA23" s="108"/>
      <c r="AB23" s="108"/>
      <c r="AC23" s="108"/>
      <c r="AD23" s="108"/>
      <c r="AE23" s="108"/>
      <c r="AF23" s="108"/>
      <c r="AG23" s="108"/>
      <c r="AH23" s="108"/>
      <c r="AI23" s="108"/>
      <c r="AJ23" s="108"/>
      <c r="AK23" s="108"/>
      <c r="AL23" s="108"/>
      <c r="AM23" s="108"/>
    </row>
    <row r="24" spans="1:39" x14ac:dyDescent="0.3">
      <c r="A24" s="162"/>
      <c r="B24" s="108"/>
      <c r="C24" s="108"/>
      <c r="D24" s="108"/>
      <c r="E24" s="108"/>
      <c r="F24" s="108"/>
      <c r="G24" s="108"/>
      <c r="H24" s="108"/>
      <c r="I24" s="108"/>
      <c r="J24" s="108"/>
      <c r="K24" s="108"/>
      <c r="L24" s="108"/>
      <c r="M24" s="108"/>
      <c r="N24" s="108"/>
      <c r="O24" s="108"/>
      <c r="P24" s="108"/>
      <c r="Q24" s="108"/>
      <c r="R24" s="108"/>
      <c r="S24" s="108"/>
      <c r="T24" s="108"/>
      <c r="U24" s="108"/>
      <c r="V24" s="108"/>
      <c r="W24" s="108"/>
      <c r="X24" s="108"/>
      <c r="Y24" s="108"/>
      <c r="Z24" s="108"/>
      <c r="AA24" s="108"/>
      <c r="AB24" s="108"/>
      <c r="AC24" s="108"/>
      <c r="AD24" s="108"/>
      <c r="AE24" s="108"/>
      <c r="AF24" s="108"/>
      <c r="AG24" s="108"/>
      <c r="AH24" s="108"/>
      <c r="AI24" s="108"/>
      <c r="AJ24" s="108"/>
      <c r="AK24" s="108"/>
      <c r="AL24" s="108"/>
      <c r="AM24" s="108"/>
    </row>
    <row r="25" spans="1:39" x14ac:dyDescent="0.3">
      <c r="A25" s="162"/>
      <c r="B25" s="108"/>
      <c r="C25" s="108"/>
      <c r="D25" s="108"/>
      <c r="E25" s="108"/>
      <c r="F25" s="108"/>
      <c r="G25" s="108"/>
      <c r="H25" s="108"/>
      <c r="I25" s="108"/>
      <c r="J25" s="108"/>
      <c r="K25" s="108"/>
      <c r="L25" s="108"/>
      <c r="M25" s="108"/>
      <c r="N25" s="108"/>
      <c r="O25" s="108"/>
      <c r="P25" s="108"/>
      <c r="Q25" s="108"/>
      <c r="R25" s="108"/>
      <c r="S25" s="108"/>
      <c r="T25" s="108"/>
      <c r="U25" s="108"/>
      <c r="V25" s="108"/>
      <c r="W25" s="108"/>
      <c r="X25" s="108"/>
      <c r="Y25" s="108"/>
      <c r="Z25" s="108"/>
      <c r="AA25" s="108"/>
      <c r="AB25" s="108"/>
      <c r="AC25" s="108"/>
      <c r="AD25" s="108"/>
      <c r="AE25" s="108"/>
      <c r="AF25" s="108"/>
      <c r="AG25" s="108"/>
      <c r="AH25" s="108"/>
      <c r="AI25" s="108"/>
      <c r="AJ25" s="108"/>
      <c r="AK25" s="108"/>
      <c r="AL25" s="108"/>
      <c r="AM25" s="108"/>
    </row>
    <row r="26" spans="1:39" x14ac:dyDescent="0.3">
      <c r="A26" s="162"/>
      <c r="B26" s="108"/>
      <c r="C26" s="108"/>
      <c r="D26" s="108"/>
      <c r="E26" s="108"/>
      <c r="F26" s="108"/>
      <c r="G26" s="108"/>
      <c r="H26" s="108"/>
      <c r="I26" s="108"/>
      <c r="J26" s="108"/>
      <c r="K26" s="108"/>
      <c r="L26" s="108"/>
      <c r="M26" s="108"/>
      <c r="N26" s="108"/>
      <c r="O26" s="108"/>
      <c r="P26" s="108"/>
      <c r="Q26" s="108"/>
      <c r="R26" s="108"/>
      <c r="S26" s="108"/>
      <c r="T26" s="108"/>
      <c r="U26" s="108"/>
      <c r="V26" s="108"/>
      <c r="W26" s="108"/>
      <c r="X26" s="108"/>
      <c r="Y26" s="108"/>
      <c r="Z26" s="108"/>
      <c r="AA26" s="108"/>
      <c r="AB26" s="108"/>
      <c r="AC26" s="108"/>
      <c r="AD26" s="108"/>
      <c r="AE26" s="108"/>
      <c r="AF26" s="108"/>
      <c r="AG26" s="108"/>
      <c r="AH26" s="108"/>
      <c r="AI26" s="108"/>
      <c r="AJ26" s="108"/>
      <c r="AK26" s="108"/>
      <c r="AL26" s="108"/>
      <c r="AM26" s="108"/>
    </row>
    <row r="27" spans="1:39" x14ac:dyDescent="0.3">
      <c r="A27" s="162"/>
      <c r="B27" s="108"/>
      <c r="C27" s="108"/>
      <c r="D27" s="108"/>
      <c r="E27" s="108"/>
      <c r="F27" s="108"/>
      <c r="G27" s="108"/>
      <c r="H27" s="108"/>
      <c r="I27" s="108"/>
      <c r="J27" s="108"/>
      <c r="K27" s="108"/>
      <c r="L27" s="108"/>
      <c r="M27" s="108"/>
      <c r="N27" s="108"/>
      <c r="O27" s="108"/>
      <c r="P27" s="108"/>
      <c r="Q27" s="108"/>
      <c r="R27" s="108"/>
      <c r="S27" s="108"/>
      <c r="T27" s="108"/>
      <c r="U27" s="108"/>
      <c r="V27" s="108"/>
      <c r="W27" s="108"/>
      <c r="X27" s="108"/>
      <c r="Y27" s="108"/>
      <c r="Z27" s="108"/>
      <c r="AA27" s="108"/>
      <c r="AB27" s="108"/>
      <c r="AC27" s="108"/>
      <c r="AD27" s="108"/>
      <c r="AE27" s="108"/>
      <c r="AF27" s="108"/>
      <c r="AG27" s="108"/>
      <c r="AH27" s="108"/>
      <c r="AI27" s="108"/>
      <c r="AJ27" s="108"/>
      <c r="AK27" s="108"/>
      <c r="AL27" s="108"/>
      <c r="AM27" s="108"/>
    </row>
    <row r="28" spans="1:39" x14ac:dyDescent="0.3">
      <c r="A28" s="162"/>
      <c r="B28" s="108"/>
      <c r="C28" s="108"/>
      <c r="D28" s="108"/>
      <c r="E28" s="108"/>
      <c r="F28" s="108"/>
      <c r="G28" s="108"/>
      <c r="H28" s="108"/>
      <c r="I28" s="108"/>
      <c r="J28" s="108"/>
      <c r="K28" s="108"/>
      <c r="L28" s="108"/>
      <c r="M28" s="108"/>
      <c r="N28" s="108"/>
      <c r="O28" s="108"/>
      <c r="P28" s="108"/>
      <c r="Q28" s="108"/>
      <c r="R28" s="108"/>
      <c r="S28" s="108"/>
      <c r="T28" s="108"/>
      <c r="U28" s="108"/>
      <c r="V28" s="108"/>
      <c r="W28" s="108"/>
      <c r="X28" s="108"/>
      <c r="Y28" s="108"/>
      <c r="Z28" s="108"/>
      <c r="AA28" s="108"/>
      <c r="AB28" s="108"/>
      <c r="AC28" s="108"/>
      <c r="AD28" s="108"/>
      <c r="AE28" s="108"/>
      <c r="AF28" s="108"/>
      <c r="AG28" s="108"/>
      <c r="AH28" s="108"/>
      <c r="AI28" s="108"/>
      <c r="AJ28" s="108"/>
      <c r="AK28" s="108"/>
      <c r="AL28" s="108"/>
      <c r="AM28" s="108"/>
    </row>
    <row r="29" spans="1:39" x14ac:dyDescent="0.3">
      <c r="A29" s="162"/>
      <c r="B29" s="108"/>
      <c r="C29" s="108"/>
      <c r="D29" s="108"/>
      <c r="E29" s="108"/>
      <c r="F29" s="108"/>
      <c r="G29" s="108"/>
      <c r="H29" s="108"/>
      <c r="I29" s="108"/>
      <c r="J29" s="108"/>
      <c r="K29" s="108"/>
      <c r="L29" s="108"/>
      <c r="M29" s="108"/>
      <c r="N29" s="108"/>
      <c r="O29" s="108"/>
      <c r="P29" s="108"/>
      <c r="Q29" s="108"/>
      <c r="R29" s="108"/>
      <c r="S29" s="108"/>
      <c r="T29" s="108"/>
      <c r="U29" s="108"/>
      <c r="V29" s="108"/>
      <c r="W29" s="108"/>
      <c r="X29" s="108"/>
      <c r="Y29" s="108"/>
      <c r="Z29" s="108"/>
      <c r="AA29" s="108"/>
      <c r="AB29" s="108"/>
      <c r="AC29" s="108"/>
      <c r="AD29" s="108"/>
      <c r="AE29" s="108"/>
      <c r="AF29" s="108"/>
      <c r="AG29" s="108"/>
      <c r="AH29" s="108"/>
      <c r="AI29" s="108"/>
      <c r="AJ29" s="108"/>
      <c r="AK29" s="108"/>
      <c r="AL29" s="108"/>
      <c r="AM29" s="108"/>
    </row>
    <row r="30" spans="1:39" x14ac:dyDescent="0.3">
      <c r="A30" s="162"/>
      <c r="B30" s="108"/>
      <c r="C30" s="108"/>
      <c r="D30" s="108"/>
      <c r="E30" s="108"/>
      <c r="F30" s="108"/>
      <c r="G30" s="108"/>
      <c r="H30" s="108"/>
      <c r="I30" s="108"/>
      <c r="J30" s="108"/>
      <c r="K30" s="108"/>
      <c r="L30" s="108"/>
      <c r="M30" s="108"/>
      <c r="N30" s="108"/>
      <c r="O30" s="108"/>
      <c r="P30" s="108"/>
      <c r="Q30" s="108"/>
      <c r="R30" s="108"/>
      <c r="S30" s="108"/>
      <c r="T30" s="108"/>
      <c r="U30" s="108"/>
      <c r="V30" s="108"/>
      <c r="W30" s="108"/>
      <c r="X30" s="108"/>
      <c r="Y30" s="108"/>
      <c r="Z30" s="108"/>
      <c r="AA30" s="108"/>
      <c r="AB30" s="108"/>
      <c r="AC30" s="108"/>
      <c r="AD30" s="108"/>
      <c r="AE30" s="108"/>
      <c r="AF30" s="108"/>
      <c r="AG30" s="108"/>
      <c r="AH30" s="108"/>
      <c r="AI30" s="108"/>
      <c r="AJ30" s="108"/>
      <c r="AK30" s="108"/>
      <c r="AL30" s="108"/>
      <c r="AM30" s="108"/>
    </row>
    <row r="31" spans="1:39" x14ac:dyDescent="0.3">
      <c r="A31" s="162"/>
      <c r="B31" s="108"/>
      <c r="C31" s="108"/>
      <c r="D31" s="108"/>
      <c r="E31" s="108"/>
      <c r="F31" s="108"/>
      <c r="G31" s="108"/>
      <c r="H31" s="108"/>
      <c r="I31" s="108"/>
      <c r="J31" s="108"/>
      <c r="K31" s="108"/>
      <c r="L31" s="108"/>
      <c r="M31" s="108"/>
      <c r="N31" s="108"/>
      <c r="O31" s="108"/>
      <c r="P31" s="108"/>
      <c r="Q31" s="108"/>
      <c r="R31" s="108"/>
      <c r="S31" s="108"/>
      <c r="T31" s="108"/>
      <c r="U31" s="108"/>
      <c r="V31" s="108"/>
      <c r="W31" s="108"/>
      <c r="X31" s="108"/>
      <c r="Y31" s="108"/>
      <c r="Z31" s="108"/>
      <c r="AA31" s="108"/>
      <c r="AB31" s="108"/>
      <c r="AC31" s="108"/>
      <c r="AD31" s="108"/>
      <c r="AE31" s="108"/>
      <c r="AF31" s="108"/>
      <c r="AG31" s="108"/>
      <c r="AH31" s="108"/>
      <c r="AI31" s="108"/>
      <c r="AJ31" s="108"/>
      <c r="AK31" s="108"/>
      <c r="AL31" s="108"/>
      <c r="AM31" s="108"/>
    </row>
    <row r="32" spans="1:39" x14ac:dyDescent="0.3">
      <c r="A32" s="162"/>
      <c r="B32" s="108"/>
      <c r="C32" s="108"/>
      <c r="D32" s="108"/>
      <c r="E32" s="108"/>
      <c r="F32" s="108"/>
      <c r="G32" s="108"/>
      <c r="H32" s="108"/>
      <c r="I32" s="108"/>
      <c r="J32" s="108"/>
      <c r="K32" s="108"/>
      <c r="L32" s="108"/>
      <c r="M32" s="108"/>
      <c r="N32" s="108"/>
      <c r="O32" s="108"/>
      <c r="P32" s="108"/>
      <c r="Q32" s="108"/>
      <c r="R32" s="108"/>
      <c r="S32" s="108"/>
      <c r="T32" s="108"/>
      <c r="U32" s="108"/>
      <c r="V32" s="108"/>
      <c r="W32" s="108"/>
      <c r="X32" s="108"/>
      <c r="Y32" s="108"/>
      <c r="Z32" s="108"/>
      <c r="AA32" s="108"/>
      <c r="AB32" s="108"/>
      <c r="AC32" s="108"/>
      <c r="AD32" s="108"/>
      <c r="AE32" s="108"/>
      <c r="AF32" s="108"/>
      <c r="AG32" s="108"/>
      <c r="AH32" s="108"/>
      <c r="AI32" s="108"/>
      <c r="AJ32" s="108"/>
      <c r="AK32" s="108"/>
      <c r="AL32" s="108"/>
      <c r="AM32" s="108"/>
    </row>
    <row r="33" spans="1:39" x14ac:dyDescent="0.3">
      <c r="A33" s="162"/>
      <c r="B33" s="108"/>
      <c r="C33" s="108"/>
      <c r="D33" s="108"/>
      <c r="E33" s="108"/>
      <c r="F33" s="108"/>
      <c r="G33" s="108"/>
      <c r="H33" s="108"/>
      <c r="I33" s="108"/>
      <c r="J33" s="108"/>
      <c r="K33" s="108"/>
      <c r="L33" s="108"/>
      <c r="M33" s="108"/>
      <c r="N33" s="108"/>
      <c r="O33" s="108"/>
      <c r="P33" s="108"/>
      <c r="Q33" s="108"/>
      <c r="R33" s="108"/>
      <c r="S33" s="108"/>
      <c r="T33" s="108"/>
      <c r="U33" s="108"/>
      <c r="V33" s="108"/>
      <c r="W33" s="108"/>
      <c r="X33" s="108"/>
      <c r="Y33" s="108"/>
      <c r="Z33" s="108"/>
      <c r="AA33" s="108"/>
      <c r="AB33" s="108"/>
      <c r="AC33" s="108"/>
      <c r="AD33" s="108"/>
      <c r="AE33" s="108"/>
      <c r="AF33" s="108"/>
      <c r="AG33" s="108"/>
      <c r="AH33" s="108"/>
      <c r="AI33" s="108"/>
      <c r="AJ33" s="108"/>
      <c r="AK33" s="108"/>
      <c r="AL33" s="108"/>
      <c r="AM33" s="108"/>
    </row>
    <row r="34" spans="1:39" x14ac:dyDescent="0.3">
      <c r="A34" s="162"/>
      <c r="B34" s="108"/>
      <c r="C34" s="108"/>
      <c r="D34" s="108"/>
      <c r="E34" s="108"/>
      <c r="F34" s="108"/>
      <c r="G34" s="108"/>
      <c r="H34" s="108"/>
      <c r="I34" s="108"/>
      <c r="J34" s="108"/>
      <c r="K34" s="108"/>
      <c r="L34" s="108"/>
      <c r="M34" s="108"/>
      <c r="N34" s="108"/>
      <c r="O34" s="108"/>
      <c r="P34" s="108"/>
      <c r="Q34" s="108"/>
      <c r="R34" s="108"/>
      <c r="S34" s="108"/>
      <c r="T34" s="108"/>
      <c r="U34" s="108"/>
      <c r="V34" s="108"/>
      <c r="W34" s="108"/>
      <c r="X34" s="108"/>
      <c r="Y34" s="108"/>
      <c r="Z34" s="108"/>
      <c r="AA34" s="108"/>
      <c r="AB34" s="108"/>
      <c r="AC34" s="108"/>
      <c r="AD34" s="108"/>
      <c r="AE34" s="108"/>
      <c r="AF34" s="108"/>
      <c r="AG34" s="108"/>
      <c r="AH34" s="108"/>
      <c r="AI34" s="108"/>
      <c r="AJ34" s="108"/>
      <c r="AK34" s="108"/>
      <c r="AL34" s="108"/>
      <c r="AM34" s="108"/>
    </row>
    <row r="35" spans="1:39" x14ac:dyDescent="0.3">
      <c r="A35" s="162"/>
      <c r="B35" s="108"/>
      <c r="C35" s="108"/>
      <c r="D35" s="108"/>
      <c r="E35" s="108"/>
      <c r="F35" s="108"/>
      <c r="G35" s="108"/>
      <c r="H35" s="108"/>
      <c r="I35" s="108"/>
      <c r="J35" s="108"/>
      <c r="K35" s="108"/>
      <c r="L35" s="108"/>
      <c r="M35" s="108"/>
      <c r="N35" s="108"/>
      <c r="O35" s="108"/>
      <c r="P35" s="108"/>
      <c r="Q35" s="108"/>
      <c r="R35" s="108"/>
      <c r="S35" s="108"/>
      <c r="T35" s="108"/>
      <c r="U35" s="108"/>
      <c r="V35" s="108"/>
      <c r="W35" s="108"/>
      <c r="X35" s="108"/>
      <c r="Y35" s="108"/>
      <c r="Z35" s="108"/>
      <c r="AA35" s="108"/>
      <c r="AB35" s="108"/>
      <c r="AC35" s="108"/>
      <c r="AD35" s="108"/>
      <c r="AE35" s="108"/>
      <c r="AF35" s="108"/>
      <c r="AG35" s="108"/>
      <c r="AH35" s="108"/>
      <c r="AI35" s="108"/>
      <c r="AJ35" s="108"/>
      <c r="AK35" s="108"/>
      <c r="AL35" s="108"/>
      <c r="AM35" s="108"/>
    </row>
    <row r="36" spans="1:39" x14ac:dyDescent="0.3">
      <c r="A36" s="162"/>
      <c r="B36" s="108"/>
      <c r="C36" s="108"/>
      <c r="D36" s="108"/>
      <c r="E36" s="108"/>
      <c r="F36" s="108"/>
      <c r="G36" s="108"/>
      <c r="H36" s="108"/>
      <c r="I36" s="108"/>
      <c r="J36" s="108"/>
      <c r="K36" s="108"/>
      <c r="L36" s="108"/>
      <c r="M36" s="108"/>
      <c r="N36" s="108"/>
      <c r="O36" s="108"/>
      <c r="P36" s="108"/>
      <c r="Q36" s="108"/>
      <c r="R36" s="108"/>
      <c r="S36" s="108"/>
      <c r="T36" s="108"/>
      <c r="U36" s="108"/>
      <c r="V36" s="108"/>
      <c r="W36" s="108"/>
      <c r="X36" s="108"/>
      <c r="Y36" s="108"/>
      <c r="Z36" s="108"/>
      <c r="AA36" s="108"/>
      <c r="AB36" s="108"/>
      <c r="AC36" s="108"/>
      <c r="AD36" s="108"/>
      <c r="AE36" s="108"/>
      <c r="AF36" s="108"/>
      <c r="AG36" s="108"/>
      <c r="AH36" s="108"/>
      <c r="AI36" s="108"/>
      <c r="AJ36" s="108"/>
      <c r="AK36" s="108"/>
      <c r="AL36" s="108"/>
      <c r="AM36" s="108"/>
    </row>
    <row r="37" spans="1:39" x14ac:dyDescent="0.3">
      <c r="A37" s="162"/>
      <c r="B37" s="108"/>
      <c r="C37" s="108"/>
      <c r="D37" s="108"/>
      <c r="E37" s="108"/>
      <c r="F37" s="108"/>
      <c r="G37" s="108"/>
      <c r="H37" s="108"/>
      <c r="I37" s="108"/>
      <c r="J37" s="108"/>
      <c r="K37" s="108"/>
      <c r="L37" s="108"/>
      <c r="M37" s="108"/>
      <c r="N37" s="108"/>
      <c r="O37" s="108"/>
      <c r="P37" s="108"/>
      <c r="Q37" s="108"/>
      <c r="R37" s="108"/>
      <c r="S37" s="108"/>
      <c r="T37" s="108"/>
      <c r="U37" s="108"/>
      <c r="V37" s="108"/>
      <c r="W37" s="108"/>
      <c r="X37" s="108"/>
      <c r="Y37" s="108"/>
      <c r="Z37" s="108"/>
      <c r="AA37" s="108"/>
      <c r="AB37" s="108"/>
      <c r="AC37" s="108"/>
      <c r="AD37" s="108"/>
      <c r="AE37" s="108"/>
      <c r="AF37" s="108"/>
      <c r="AG37" s="108"/>
      <c r="AH37" s="108"/>
      <c r="AI37" s="108"/>
      <c r="AJ37" s="108"/>
      <c r="AK37" s="108"/>
      <c r="AL37" s="108"/>
      <c r="AM37" s="108"/>
    </row>
    <row r="38" spans="1:39" x14ac:dyDescent="0.3">
      <c r="A38" s="162"/>
      <c r="B38" s="108"/>
      <c r="C38" s="108"/>
      <c r="D38" s="108"/>
      <c r="E38" s="108"/>
      <c r="F38" s="108"/>
      <c r="G38" s="108"/>
      <c r="H38" s="108"/>
      <c r="I38" s="108"/>
      <c r="J38" s="108"/>
      <c r="K38" s="108"/>
      <c r="L38" s="108"/>
      <c r="M38" s="108"/>
      <c r="N38" s="108"/>
      <c r="O38" s="108"/>
      <c r="P38" s="108"/>
      <c r="Q38" s="108"/>
      <c r="R38" s="108"/>
      <c r="S38" s="108"/>
      <c r="T38" s="108"/>
      <c r="U38" s="108"/>
      <c r="V38" s="108"/>
      <c r="W38" s="108"/>
      <c r="X38" s="108"/>
      <c r="Y38" s="108"/>
      <c r="Z38" s="108"/>
      <c r="AA38" s="108"/>
      <c r="AB38" s="108"/>
      <c r="AC38" s="108"/>
      <c r="AD38" s="108"/>
      <c r="AE38" s="108"/>
      <c r="AF38" s="108"/>
      <c r="AG38" s="108"/>
      <c r="AH38" s="108"/>
      <c r="AI38" s="108"/>
      <c r="AJ38" s="108"/>
      <c r="AK38" s="108"/>
      <c r="AL38" s="108"/>
      <c r="AM38" s="108"/>
    </row>
    <row r="39" spans="1:39" x14ac:dyDescent="0.3">
      <c r="A39" s="162"/>
      <c r="B39" s="108"/>
      <c r="C39" s="108"/>
      <c r="D39" s="108"/>
      <c r="E39" s="108"/>
      <c r="F39" s="108"/>
      <c r="G39" s="108"/>
      <c r="H39" s="108"/>
      <c r="I39" s="108"/>
      <c r="J39" s="108"/>
      <c r="K39" s="108"/>
      <c r="L39" s="108"/>
      <c r="M39" s="108"/>
      <c r="N39" s="108"/>
      <c r="O39" s="108"/>
      <c r="P39" s="108"/>
      <c r="Q39" s="108"/>
      <c r="R39" s="108"/>
      <c r="S39" s="108"/>
      <c r="T39" s="108"/>
      <c r="U39" s="108"/>
      <c r="V39" s="108"/>
      <c r="W39" s="108"/>
      <c r="X39" s="108"/>
      <c r="Y39" s="108"/>
      <c r="Z39" s="108"/>
      <c r="AA39" s="108"/>
      <c r="AB39" s="108"/>
      <c r="AC39" s="108"/>
      <c r="AD39" s="108"/>
      <c r="AE39" s="108"/>
      <c r="AF39" s="108"/>
      <c r="AG39" s="108"/>
      <c r="AH39" s="108"/>
      <c r="AI39" s="108"/>
      <c r="AJ39" s="108"/>
      <c r="AK39" s="108"/>
      <c r="AL39" s="108"/>
      <c r="AM39" s="108"/>
    </row>
    <row r="40" spans="1:39" x14ac:dyDescent="0.3">
      <c r="A40" s="162"/>
      <c r="B40" s="108"/>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c r="AA40" s="108"/>
      <c r="AB40" s="108"/>
      <c r="AC40" s="108"/>
      <c r="AD40" s="108"/>
      <c r="AE40" s="108"/>
      <c r="AF40" s="108"/>
      <c r="AG40" s="108"/>
      <c r="AH40" s="108"/>
      <c r="AI40" s="108"/>
      <c r="AJ40" s="108"/>
      <c r="AK40" s="108"/>
      <c r="AL40" s="108"/>
      <c r="AM40" s="108"/>
    </row>
    <row r="41" spans="1:39" x14ac:dyDescent="0.3">
      <c r="A41" s="162"/>
      <c r="B41" s="108"/>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c r="AA41" s="108"/>
      <c r="AB41" s="108"/>
      <c r="AC41" s="108"/>
      <c r="AD41" s="108"/>
      <c r="AE41" s="108"/>
      <c r="AF41" s="108"/>
      <c r="AG41" s="108"/>
      <c r="AH41" s="108"/>
      <c r="AI41" s="108"/>
      <c r="AJ41" s="108"/>
      <c r="AK41" s="108"/>
      <c r="AL41" s="108"/>
      <c r="AM41" s="108"/>
    </row>
    <row r="42" spans="1:39" x14ac:dyDescent="0.3">
      <c r="A42" s="162"/>
      <c r="B42" s="108"/>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c r="AA42" s="108"/>
      <c r="AB42" s="108"/>
      <c r="AC42" s="108"/>
      <c r="AD42" s="108"/>
      <c r="AE42" s="108"/>
      <c r="AF42" s="108"/>
      <c r="AG42" s="108"/>
      <c r="AH42" s="108"/>
      <c r="AI42" s="108"/>
      <c r="AJ42" s="108"/>
      <c r="AK42" s="108"/>
      <c r="AL42" s="108"/>
      <c r="AM42" s="108"/>
    </row>
    <row r="43" spans="1:39" x14ac:dyDescent="0.3">
      <c r="A43" s="162"/>
      <c r="B43" s="108"/>
      <c r="C43" s="108"/>
      <c r="D43" s="108"/>
      <c r="E43" s="108"/>
      <c r="F43" s="108"/>
      <c r="G43" s="108"/>
      <c r="H43" s="108"/>
      <c r="I43" s="108"/>
      <c r="J43" s="108"/>
      <c r="K43" s="108"/>
      <c r="L43" s="108"/>
      <c r="M43" s="108"/>
      <c r="N43" s="108"/>
      <c r="O43" s="108"/>
      <c r="P43" s="108"/>
      <c r="Q43" s="108"/>
      <c r="R43" s="108"/>
      <c r="S43" s="108"/>
      <c r="T43" s="108"/>
      <c r="U43" s="108"/>
      <c r="V43" s="108"/>
      <c r="W43" s="108"/>
      <c r="X43" s="108"/>
      <c r="Y43" s="108"/>
      <c r="Z43" s="108"/>
      <c r="AA43" s="108"/>
      <c r="AB43" s="108"/>
      <c r="AC43" s="108"/>
      <c r="AD43" s="108"/>
      <c r="AE43" s="108"/>
      <c r="AF43" s="108"/>
      <c r="AG43" s="108"/>
      <c r="AH43" s="108"/>
      <c r="AI43" s="108"/>
      <c r="AJ43" s="108"/>
      <c r="AK43" s="108"/>
      <c r="AL43" s="108"/>
      <c r="AM43" s="108"/>
    </row>
    <row r="44" spans="1:39" x14ac:dyDescent="0.3">
      <c r="A44" s="162"/>
      <c r="B44" s="108"/>
      <c r="C44" s="108"/>
      <c r="D44" s="108"/>
      <c r="E44" s="108"/>
      <c r="F44" s="108"/>
      <c r="G44" s="108"/>
      <c r="H44" s="108"/>
      <c r="I44" s="108"/>
      <c r="J44" s="108"/>
      <c r="K44" s="108"/>
      <c r="L44" s="108"/>
      <c r="M44" s="108"/>
      <c r="N44" s="108"/>
      <c r="O44" s="108"/>
      <c r="P44" s="108"/>
      <c r="Q44" s="108"/>
      <c r="R44" s="108"/>
      <c r="S44" s="108"/>
      <c r="T44" s="108"/>
      <c r="U44" s="108"/>
      <c r="V44" s="108"/>
      <c r="W44" s="108"/>
      <c r="X44" s="108"/>
      <c r="Y44" s="108"/>
      <c r="Z44" s="108"/>
      <c r="AA44" s="108"/>
      <c r="AB44" s="108"/>
      <c r="AC44" s="108"/>
      <c r="AD44" s="108"/>
      <c r="AE44" s="108"/>
      <c r="AF44" s="108"/>
      <c r="AG44" s="108"/>
      <c r="AH44" s="108"/>
      <c r="AI44" s="108"/>
      <c r="AJ44" s="108"/>
      <c r="AK44" s="108"/>
      <c r="AL44" s="108"/>
      <c r="AM44" s="108"/>
    </row>
    <row r="45" spans="1:39" x14ac:dyDescent="0.3">
      <c r="A45" s="162"/>
      <c r="B45" s="108"/>
      <c r="C45" s="108"/>
      <c r="D45" s="108"/>
      <c r="E45" s="108"/>
      <c r="F45" s="108"/>
      <c r="G45" s="108"/>
      <c r="H45" s="108"/>
      <c r="I45" s="108"/>
      <c r="J45" s="108"/>
      <c r="K45" s="108"/>
      <c r="L45" s="108"/>
      <c r="M45" s="108"/>
      <c r="N45" s="108"/>
      <c r="O45" s="108"/>
      <c r="P45" s="108"/>
      <c r="Q45" s="108"/>
      <c r="R45" s="108"/>
      <c r="S45" s="108"/>
      <c r="T45" s="108"/>
      <c r="U45" s="108"/>
      <c r="V45" s="108"/>
      <c r="W45" s="108"/>
      <c r="X45" s="108"/>
      <c r="Y45" s="108"/>
      <c r="Z45" s="108"/>
      <c r="AA45" s="108"/>
      <c r="AB45" s="108"/>
      <c r="AC45" s="108"/>
      <c r="AD45" s="108"/>
      <c r="AE45" s="108"/>
      <c r="AF45" s="108"/>
      <c r="AG45" s="108"/>
      <c r="AH45" s="108"/>
      <c r="AI45" s="108"/>
      <c r="AJ45" s="108"/>
      <c r="AK45" s="108"/>
      <c r="AL45" s="108"/>
      <c r="AM45" s="108"/>
    </row>
    <row r="46" spans="1:39" x14ac:dyDescent="0.3">
      <c r="A46" s="162"/>
      <c r="B46" s="108"/>
      <c r="C46" s="108"/>
      <c r="D46" s="108"/>
      <c r="E46" s="108"/>
      <c r="F46" s="108"/>
      <c r="G46" s="108"/>
      <c r="H46" s="108"/>
      <c r="I46" s="108"/>
      <c r="J46" s="108"/>
      <c r="K46" s="108"/>
      <c r="L46" s="108"/>
      <c r="M46" s="108"/>
      <c r="N46" s="108"/>
      <c r="O46" s="108"/>
      <c r="P46" s="108"/>
      <c r="Q46" s="108"/>
      <c r="R46" s="108"/>
      <c r="S46" s="108"/>
      <c r="T46" s="108"/>
      <c r="U46" s="108"/>
      <c r="V46" s="108"/>
      <c r="W46" s="108"/>
      <c r="X46" s="108"/>
      <c r="Y46" s="108"/>
      <c r="Z46" s="108"/>
      <c r="AA46" s="108"/>
      <c r="AB46" s="108"/>
      <c r="AC46" s="108"/>
      <c r="AD46" s="108"/>
      <c r="AE46" s="108"/>
      <c r="AF46" s="108"/>
      <c r="AG46" s="108"/>
      <c r="AH46" s="108"/>
      <c r="AI46" s="108"/>
      <c r="AJ46" s="108"/>
      <c r="AK46" s="108"/>
      <c r="AL46" s="108"/>
      <c r="AM46" s="108"/>
    </row>
    <row r="47" spans="1:39" x14ac:dyDescent="0.3">
      <c r="A47" s="162"/>
      <c r="B47" s="108"/>
      <c r="C47" s="108"/>
      <c r="D47" s="108"/>
      <c r="E47" s="108"/>
      <c r="F47" s="108"/>
      <c r="G47" s="108"/>
      <c r="H47" s="108"/>
      <c r="I47" s="108"/>
      <c r="J47" s="108"/>
      <c r="K47" s="108"/>
      <c r="L47" s="108"/>
      <c r="M47" s="108"/>
      <c r="N47" s="108"/>
      <c r="O47" s="108"/>
      <c r="P47" s="108"/>
      <c r="Q47" s="108"/>
      <c r="R47" s="108"/>
      <c r="S47" s="108"/>
      <c r="T47" s="108"/>
      <c r="U47" s="108"/>
      <c r="V47" s="108"/>
      <c r="W47" s="108"/>
      <c r="X47" s="108"/>
      <c r="Y47" s="108"/>
      <c r="Z47" s="108"/>
      <c r="AA47" s="108"/>
      <c r="AB47" s="108"/>
      <c r="AC47" s="108"/>
      <c r="AD47" s="108"/>
      <c r="AE47" s="108"/>
      <c r="AF47" s="108"/>
      <c r="AG47" s="108"/>
      <c r="AH47" s="108"/>
      <c r="AI47" s="108"/>
      <c r="AJ47" s="108"/>
      <c r="AK47" s="108"/>
      <c r="AL47" s="108"/>
      <c r="AM47" s="108"/>
    </row>
    <row r="48" spans="1:39" x14ac:dyDescent="0.3">
      <c r="A48" s="162"/>
      <c r="B48" s="108"/>
      <c r="C48" s="108"/>
      <c r="D48" s="108"/>
      <c r="E48" s="108"/>
      <c r="F48" s="108"/>
      <c r="G48" s="108"/>
      <c r="H48" s="108"/>
      <c r="I48" s="108"/>
      <c r="J48" s="108"/>
      <c r="K48" s="108"/>
      <c r="L48" s="108"/>
      <c r="M48" s="108"/>
      <c r="N48" s="108"/>
      <c r="O48" s="108"/>
      <c r="P48" s="108"/>
      <c r="Q48" s="108"/>
      <c r="R48" s="108"/>
      <c r="S48" s="108"/>
      <c r="T48" s="108"/>
      <c r="U48" s="108"/>
      <c r="V48" s="108"/>
      <c r="W48" s="108"/>
      <c r="X48" s="108"/>
      <c r="Y48" s="108"/>
      <c r="Z48" s="108"/>
      <c r="AA48" s="108"/>
      <c r="AB48" s="108"/>
      <c r="AC48" s="108"/>
      <c r="AD48" s="108"/>
      <c r="AE48" s="108"/>
      <c r="AF48" s="108"/>
      <c r="AG48" s="108"/>
      <c r="AH48" s="108"/>
      <c r="AI48" s="108"/>
      <c r="AJ48" s="108"/>
      <c r="AK48" s="108"/>
      <c r="AL48" s="108"/>
      <c r="AM48" s="108"/>
    </row>
    <row r="49" spans="1:39" x14ac:dyDescent="0.3">
      <c r="A49" s="162"/>
      <c r="B49" s="108"/>
      <c r="C49" s="108"/>
      <c r="D49" s="108"/>
      <c r="E49" s="108"/>
      <c r="F49" s="108"/>
      <c r="G49" s="108"/>
      <c r="H49" s="108"/>
      <c r="I49" s="108"/>
      <c r="J49" s="108"/>
      <c r="K49" s="108"/>
      <c r="L49" s="108"/>
      <c r="M49" s="108"/>
      <c r="N49" s="108"/>
      <c r="O49" s="108"/>
      <c r="P49" s="108"/>
      <c r="Q49" s="108"/>
      <c r="R49" s="108"/>
      <c r="S49" s="108"/>
      <c r="T49" s="108"/>
      <c r="U49" s="108"/>
      <c r="V49" s="108"/>
      <c r="W49" s="108"/>
      <c r="X49" s="108"/>
      <c r="Y49" s="108"/>
      <c r="Z49" s="108"/>
      <c r="AA49" s="108"/>
      <c r="AB49" s="108"/>
      <c r="AC49" s="108"/>
      <c r="AD49" s="108"/>
      <c r="AE49" s="108"/>
      <c r="AF49" s="108"/>
      <c r="AG49" s="108"/>
      <c r="AH49" s="108"/>
      <c r="AI49" s="108"/>
      <c r="AJ49" s="108"/>
      <c r="AK49" s="108"/>
      <c r="AL49" s="108"/>
      <c r="AM49" s="108"/>
    </row>
    <row r="50" spans="1:39" x14ac:dyDescent="0.3">
      <c r="A50" s="162"/>
      <c r="B50" s="108"/>
      <c r="C50" s="108"/>
      <c r="D50" s="108"/>
      <c r="E50" s="108"/>
      <c r="F50" s="108"/>
      <c r="G50" s="108"/>
      <c r="H50" s="108"/>
      <c r="I50" s="108"/>
      <c r="J50" s="108"/>
      <c r="K50" s="108"/>
      <c r="L50" s="108"/>
      <c r="M50" s="108"/>
      <c r="N50" s="108"/>
      <c r="O50" s="108"/>
      <c r="P50" s="108"/>
      <c r="Q50" s="108"/>
      <c r="R50" s="108"/>
      <c r="S50" s="108"/>
      <c r="T50" s="108"/>
      <c r="U50" s="108"/>
      <c r="V50" s="108"/>
      <c r="W50" s="108"/>
      <c r="X50" s="108"/>
      <c r="Y50" s="108"/>
      <c r="Z50" s="108"/>
      <c r="AA50" s="108"/>
      <c r="AB50" s="108"/>
      <c r="AC50" s="108"/>
      <c r="AD50" s="108"/>
      <c r="AE50" s="108"/>
      <c r="AF50" s="108"/>
      <c r="AG50" s="108"/>
      <c r="AH50" s="108"/>
      <c r="AI50" s="108"/>
      <c r="AJ50" s="108"/>
      <c r="AK50" s="108"/>
      <c r="AL50" s="108"/>
      <c r="AM50" s="108"/>
    </row>
    <row r="51" spans="1:39" x14ac:dyDescent="0.3">
      <c r="A51" s="162"/>
      <c r="B51" s="108"/>
      <c r="C51" s="108"/>
      <c r="D51" s="108"/>
      <c r="E51" s="108"/>
      <c r="F51" s="108"/>
      <c r="G51" s="108"/>
      <c r="H51" s="108"/>
      <c r="I51" s="108"/>
      <c r="J51" s="108"/>
      <c r="K51" s="108"/>
      <c r="L51" s="108"/>
      <c r="M51" s="108"/>
      <c r="N51" s="108"/>
      <c r="O51" s="108"/>
      <c r="P51" s="108"/>
      <c r="Q51" s="108"/>
      <c r="R51" s="108"/>
      <c r="S51" s="108"/>
      <c r="T51" s="108"/>
      <c r="U51" s="108"/>
      <c r="V51" s="108"/>
      <c r="W51" s="108"/>
      <c r="X51" s="108"/>
      <c r="Y51" s="108"/>
      <c r="Z51" s="108"/>
      <c r="AA51" s="108"/>
      <c r="AB51" s="108"/>
      <c r="AC51" s="108"/>
      <c r="AD51" s="108"/>
      <c r="AE51" s="108"/>
      <c r="AF51" s="108"/>
      <c r="AG51" s="108"/>
      <c r="AH51" s="108"/>
      <c r="AI51" s="108"/>
      <c r="AJ51" s="108"/>
      <c r="AK51" s="108"/>
      <c r="AL51" s="108"/>
      <c r="AM51" s="108"/>
    </row>
    <row r="52" spans="1:39" x14ac:dyDescent="0.3">
      <c r="A52" s="162"/>
      <c r="B52" s="108"/>
      <c r="C52" s="108"/>
      <c r="D52" s="108"/>
      <c r="E52" s="108"/>
      <c r="F52" s="108"/>
      <c r="G52" s="108"/>
      <c r="H52" s="108"/>
      <c r="I52" s="108"/>
      <c r="J52" s="108"/>
      <c r="K52" s="108"/>
      <c r="L52" s="108"/>
      <c r="M52" s="108"/>
      <c r="N52" s="108"/>
      <c r="O52" s="108"/>
      <c r="P52" s="108"/>
      <c r="Q52" s="108"/>
      <c r="R52" s="108"/>
      <c r="S52" s="108"/>
      <c r="T52" s="108"/>
      <c r="U52" s="108"/>
      <c r="V52" s="108"/>
      <c r="W52" s="108"/>
      <c r="X52" s="108"/>
      <c r="Y52" s="108"/>
      <c r="Z52" s="108"/>
      <c r="AA52" s="108"/>
      <c r="AB52" s="108"/>
      <c r="AC52" s="108"/>
      <c r="AD52" s="108"/>
      <c r="AE52" s="108"/>
      <c r="AF52" s="108"/>
      <c r="AG52" s="108"/>
      <c r="AH52" s="108"/>
      <c r="AI52" s="108"/>
      <c r="AJ52" s="108"/>
      <c r="AK52" s="108"/>
      <c r="AL52" s="108"/>
      <c r="AM52" s="108"/>
    </row>
    <row r="53" spans="1:39" x14ac:dyDescent="0.3">
      <c r="A53" s="162"/>
      <c r="B53" s="108"/>
      <c r="C53" s="108"/>
      <c r="D53" s="108"/>
      <c r="E53" s="108"/>
      <c r="F53" s="108"/>
      <c r="G53" s="108"/>
      <c r="H53" s="108"/>
      <c r="I53" s="108"/>
      <c r="J53" s="108"/>
      <c r="K53" s="108"/>
      <c r="L53" s="108"/>
      <c r="M53" s="108"/>
      <c r="N53" s="108"/>
      <c r="O53" s="108"/>
      <c r="P53" s="108"/>
      <c r="Q53" s="108"/>
      <c r="R53" s="108"/>
      <c r="S53" s="108"/>
      <c r="T53" s="108"/>
      <c r="U53" s="108"/>
      <c r="V53" s="108"/>
      <c r="W53" s="108"/>
      <c r="X53" s="108"/>
      <c r="Y53" s="108"/>
      <c r="Z53" s="108"/>
      <c r="AA53" s="108"/>
      <c r="AB53" s="108"/>
      <c r="AC53" s="108"/>
      <c r="AD53" s="108"/>
      <c r="AE53" s="108"/>
      <c r="AF53" s="108"/>
      <c r="AG53" s="108"/>
      <c r="AH53" s="108"/>
      <c r="AI53" s="108"/>
      <c r="AJ53" s="108"/>
      <c r="AK53" s="108"/>
      <c r="AL53" s="108"/>
      <c r="AM53" s="108"/>
    </row>
    <row r="54" spans="1:39" x14ac:dyDescent="0.3">
      <c r="A54" s="162"/>
      <c r="B54" s="108"/>
      <c r="C54" s="108"/>
      <c r="D54" s="108"/>
      <c r="E54" s="108"/>
      <c r="F54" s="108"/>
      <c r="G54" s="108"/>
      <c r="H54" s="108"/>
      <c r="I54" s="108"/>
      <c r="J54" s="108"/>
      <c r="K54" s="108"/>
      <c r="L54" s="108"/>
      <c r="M54" s="108"/>
      <c r="N54" s="108"/>
      <c r="O54" s="108"/>
      <c r="P54" s="108"/>
      <c r="Q54" s="108"/>
      <c r="R54" s="108"/>
      <c r="S54" s="108"/>
      <c r="T54" s="108"/>
      <c r="U54" s="108"/>
      <c r="V54" s="108"/>
      <c r="W54" s="108"/>
      <c r="X54" s="108"/>
      <c r="Y54" s="108"/>
      <c r="Z54" s="108"/>
      <c r="AA54" s="108"/>
      <c r="AB54" s="108"/>
      <c r="AC54" s="108"/>
      <c r="AD54" s="108"/>
      <c r="AE54" s="108"/>
      <c r="AF54" s="108"/>
      <c r="AG54" s="108"/>
      <c r="AH54" s="108"/>
      <c r="AI54" s="108"/>
      <c r="AJ54" s="108"/>
      <c r="AK54" s="108"/>
      <c r="AL54" s="108"/>
      <c r="AM54" s="108"/>
    </row>
    <row r="55" spans="1:39" x14ac:dyDescent="0.3">
      <c r="A55" s="162"/>
      <c r="B55" s="108"/>
      <c r="C55" s="108"/>
      <c r="D55" s="108"/>
      <c r="E55" s="108"/>
      <c r="F55" s="108"/>
      <c r="G55" s="108"/>
      <c r="H55" s="108"/>
      <c r="I55" s="108"/>
      <c r="J55" s="108"/>
      <c r="K55" s="108"/>
      <c r="L55" s="108"/>
      <c r="M55" s="108"/>
      <c r="N55" s="108"/>
      <c r="O55" s="108"/>
      <c r="P55" s="108"/>
      <c r="Q55" s="108"/>
      <c r="R55" s="108"/>
      <c r="S55" s="108"/>
      <c r="T55" s="108"/>
      <c r="U55" s="108"/>
      <c r="V55" s="108"/>
      <c r="W55" s="108"/>
      <c r="X55" s="108"/>
      <c r="Y55" s="108"/>
      <c r="Z55" s="108"/>
      <c r="AA55" s="108"/>
      <c r="AB55" s="108"/>
      <c r="AC55" s="108"/>
      <c r="AD55" s="108"/>
      <c r="AE55" s="108"/>
      <c r="AF55" s="108"/>
      <c r="AG55" s="108"/>
      <c r="AH55" s="108"/>
      <c r="AI55" s="108"/>
      <c r="AJ55" s="108"/>
      <c r="AK55" s="108"/>
      <c r="AL55" s="108"/>
      <c r="AM55" s="108"/>
    </row>
    <row r="56" spans="1:39" x14ac:dyDescent="0.3">
      <c r="A56" s="162"/>
      <c r="B56" s="108"/>
      <c r="C56" s="108"/>
      <c r="D56" s="108"/>
      <c r="E56" s="108"/>
      <c r="F56" s="108"/>
      <c r="G56" s="108"/>
      <c r="H56" s="108"/>
      <c r="I56" s="108"/>
      <c r="J56" s="108"/>
      <c r="K56" s="108"/>
      <c r="L56" s="108"/>
      <c r="M56" s="108"/>
      <c r="N56" s="108"/>
      <c r="O56" s="108"/>
      <c r="P56" s="108"/>
      <c r="Q56" s="108"/>
      <c r="R56" s="108"/>
      <c r="S56" s="108"/>
      <c r="T56" s="108"/>
      <c r="U56" s="108"/>
      <c r="V56" s="108"/>
      <c r="W56" s="108"/>
      <c r="X56" s="108"/>
      <c r="Y56" s="108"/>
      <c r="Z56" s="108"/>
      <c r="AA56" s="108"/>
      <c r="AB56" s="108"/>
      <c r="AC56" s="108"/>
      <c r="AD56" s="108"/>
      <c r="AE56" s="108"/>
      <c r="AF56" s="108"/>
      <c r="AG56" s="108"/>
      <c r="AH56" s="108"/>
      <c r="AI56" s="108"/>
      <c r="AJ56" s="108"/>
      <c r="AK56" s="108"/>
      <c r="AL56" s="108"/>
      <c r="AM56" s="108"/>
    </row>
    <row r="57" spans="1:39" x14ac:dyDescent="0.3">
      <c r="A57" s="162"/>
      <c r="B57" s="108"/>
      <c r="C57" s="108"/>
      <c r="D57" s="108"/>
      <c r="E57" s="108"/>
      <c r="F57" s="108"/>
      <c r="G57" s="108"/>
      <c r="H57" s="108"/>
      <c r="I57" s="108"/>
      <c r="J57" s="108"/>
      <c r="K57" s="108"/>
      <c r="L57" s="108"/>
      <c r="M57" s="108"/>
      <c r="N57" s="108"/>
      <c r="O57" s="108"/>
      <c r="P57" s="108"/>
      <c r="Q57" s="108"/>
      <c r="R57" s="108"/>
      <c r="S57" s="108"/>
      <c r="T57" s="108"/>
      <c r="U57" s="108"/>
      <c r="V57" s="108"/>
      <c r="W57" s="108"/>
      <c r="X57" s="108"/>
      <c r="Y57" s="108"/>
      <c r="Z57" s="108"/>
      <c r="AA57" s="108"/>
      <c r="AB57" s="108"/>
      <c r="AC57" s="108"/>
      <c r="AD57" s="108"/>
      <c r="AE57" s="108"/>
      <c r="AF57" s="108"/>
      <c r="AG57" s="108"/>
      <c r="AH57" s="108"/>
      <c r="AI57" s="108"/>
      <c r="AJ57" s="108"/>
      <c r="AK57" s="108"/>
      <c r="AL57" s="108"/>
      <c r="AM57" s="108"/>
    </row>
    <row r="58" spans="1:39" x14ac:dyDescent="0.3">
      <c r="A58" s="162"/>
      <c r="B58" s="108"/>
      <c r="C58" s="108"/>
      <c r="D58" s="108"/>
      <c r="E58" s="108"/>
      <c r="F58" s="108"/>
      <c r="G58" s="108"/>
      <c r="H58" s="108"/>
      <c r="I58" s="108"/>
      <c r="J58" s="108"/>
      <c r="K58" s="108"/>
      <c r="L58" s="108"/>
      <c r="M58" s="108"/>
      <c r="N58" s="108"/>
      <c r="O58" s="108"/>
      <c r="P58" s="108"/>
      <c r="Q58" s="108"/>
      <c r="R58" s="108"/>
      <c r="S58" s="108"/>
      <c r="T58" s="108"/>
      <c r="U58" s="108"/>
      <c r="V58" s="108"/>
      <c r="W58" s="108"/>
      <c r="X58" s="108"/>
      <c r="Y58" s="108"/>
      <c r="Z58" s="108"/>
      <c r="AA58" s="108"/>
      <c r="AB58" s="108"/>
      <c r="AC58" s="108"/>
      <c r="AD58" s="108"/>
      <c r="AE58" s="108"/>
      <c r="AF58" s="108"/>
      <c r="AG58" s="108"/>
      <c r="AH58" s="108"/>
      <c r="AI58" s="108"/>
      <c r="AJ58" s="108"/>
      <c r="AK58" s="108"/>
      <c r="AL58" s="108"/>
      <c r="AM58" s="108"/>
    </row>
    <row r="59" spans="1:39" x14ac:dyDescent="0.3">
      <c r="A59" s="162"/>
      <c r="B59" s="108"/>
      <c r="C59" s="108"/>
      <c r="D59" s="108"/>
      <c r="E59" s="108"/>
      <c r="F59" s="108"/>
      <c r="G59" s="108"/>
      <c r="H59" s="108"/>
      <c r="I59" s="108"/>
      <c r="J59" s="108"/>
      <c r="K59" s="108"/>
      <c r="L59" s="108"/>
      <c r="M59" s="108"/>
      <c r="N59" s="108"/>
      <c r="O59" s="108"/>
      <c r="P59" s="108"/>
      <c r="Q59" s="108"/>
      <c r="R59" s="108"/>
      <c r="S59" s="108"/>
      <c r="T59" s="108"/>
      <c r="U59" s="108"/>
      <c r="V59" s="108"/>
      <c r="W59" s="108"/>
      <c r="X59" s="108"/>
      <c r="Y59" s="108"/>
      <c r="Z59" s="108"/>
      <c r="AA59" s="108"/>
      <c r="AB59" s="108"/>
      <c r="AC59" s="108"/>
      <c r="AD59" s="108"/>
      <c r="AE59" s="108"/>
      <c r="AF59" s="108"/>
      <c r="AG59" s="108"/>
      <c r="AH59" s="108"/>
      <c r="AI59" s="108"/>
      <c r="AJ59" s="108"/>
      <c r="AK59" s="108"/>
      <c r="AL59" s="108"/>
      <c r="AM59" s="108"/>
    </row>
    <row r="60" spans="1:39" x14ac:dyDescent="0.3">
      <c r="A60" s="162"/>
      <c r="B60" s="108"/>
      <c r="C60" s="108"/>
      <c r="D60" s="108"/>
      <c r="E60" s="108"/>
      <c r="F60" s="108"/>
      <c r="G60" s="108"/>
      <c r="H60" s="108"/>
      <c r="I60" s="108"/>
      <c r="J60" s="108"/>
      <c r="K60" s="108"/>
      <c r="L60" s="108"/>
      <c r="M60" s="108"/>
      <c r="N60" s="108"/>
      <c r="O60" s="108"/>
      <c r="P60" s="108"/>
      <c r="Q60" s="108"/>
      <c r="R60" s="108"/>
      <c r="S60" s="108"/>
      <c r="T60" s="108"/>
      <c r="U60" s="108"/>
      <c r="V60" s="108"/>
      <c r="W60" s="108"/>
      <c r="X60" s="108"/>
      <c r="Y60" s="108"/>
      <c r="Z60" s="108"/>
      <c r="AA60" s="108"/>
      <c r="AB60" s="108"/>
      <c r="AC60" s="108"/>
      <c r="AD60" s="108"/>
      <c r="AE60" s="108"/>
      <c r="AF60" s="108"/>
      <c r="AG60" s="108"/>
      <c r="AH60" s="108"/>
      <c r="AI60" s="108"/>
      <c r="AJ60" s="108"/>
      <c r="AK60" s="108"/>
      <c r="AL60" s="108"/>
      <c r="AM60" s="108"/>
    </row>
    <row r="61" spans="1:39" x14ac:dyDescent="0.3">
      <c r="A61" s="162"/>
      <c r="B61" s="108"/>
      <c r="C61" s="108"/>
      <c r="D61" s="108"/>
      <c r="E61" s="108"/>
      <c r="F61" s="108"/>
      <c r="G61" s="108"/>
      <c r="H61" s="108"/>
      <c r="I61" s="108"/>
      <c r="J61" s="108"/>
      <c r="K61" s="108"/>
      <c r="L61" s="108"/>
      <c r="M61" s="108"/>
      <c r="N61" s="108"/>
      <c r="O61" s="108"/>
      <c r="P61" s="108"/>
      <c r="Q61" s="108"/>
      <c r="R61" s="108"/>
      <c r="S61" s="108"/>
      <c r="T61" s="108"/>
      <c r="U61" s="108"/>
      <c r="V61" s="108"/>
      <c r="W61" s="108"/>
      <c r="X61" s="108"/>
      <c r="Y61" s="108"/>
      <c r="Z61" s="108"/>
      <c r="AA61" s="108"/>
      <c r="AB61" s="108"/>
      <c r="AC61" s="108"/>
      <c r="AD61" s="108"/>
      <c r="AE61" s="108"/>
      <c r="AF61" s="108"/>
      <c r="AG61" s="108"/>
      <c r="AH61" s="108"/>
      <c r="AI61" s="108"/>
      <c r="AJ61" s="108"/>
      <c r="AK61" s="108"/>
      <c r="AL61" s="108"/>
      <c r="AM61" s="108"/>
    </row>
    <row r="62" spans="1:39" x14ac:dyDescent="0.3">
      <c r="A62" s="162"/>
      <c r="B62" s="108"/>
      <c r="C62" s="108"/>
      <c r="D62" s="108"/>
      <c r="E62" s="108"/>
      <c r="F62" s="108"/>
      <c r="G62" s="108"/>
      <c r="H62" s="108"/>
      <c r="I62" s="108"/>
      <c r="J62" s="108"/>
      <c r="K62" s="108"/>
      <c r="L62" s="108"/>
      <c r="M62" s="108"/>
      <c r="N62" s="108"/>
      <c r="O62" s="108"/>
      <c r="P62" s="108"/>
      <c r="Q62" s="108"/>
      <c r="R62" s="108"/>
      <c r="S62" s="108"/>
      <c r="T62" s="108"/>
      <c r="U62" s="108"/>
      <c r="V62" s="108"/>
      <c r="W62" s="108"/>
      <c r="X62" s="108"/>
      <c r="Y62" s="108"/>
      <c r="Z62" s="108"/>
      <c r="AA62" s="108"/>
      <c r="AB62" s="108"/>
      <c r="AC62" s="108"/>
      <c r="AD62" s="108"/>
      <c r="AE62" s="108"/>
      <c r="AF62" s="108"/>
      <c r="AG62" s="108"/>
      <c r="AH62" s="108"/>
      <c r="AI62" s="108"/>
      <c r="AJ62" s="108"/>
      <c r="AK62" s="108"/>
      <c r="AL62" s="108"/>
      <c r="AM62" s="108"/>
    </row>
    <row r="63" spans="1:39" x14ac:dyDescent="0.3">
      <c r="A63" s="162"/>
      <c r="B63" s="108"/>
      <c r="C63" s="108"/>
      <c r="D63" s="108"/>
      <c r="E63" s="108"/>
      <c r="F63" s="108"/>
      <c r="G63" s="108"/>
      <c r="H63" s="108"/>
      <c r="I63" s="108"/>
      <c r="J63" s="108"/>
      <c r="K63" s="108"/>
      <c r="L63" s="108"/>
      <c r="M63" s="108"/>
      <c r="N63" s="108"/>
      <c r="O63" s="108"/>
      <c r="P63" s="108"/>
      <c r="Q63" s="108"/>
      <c r="R63" s="108"/>
      <c r="S63" s="108"/>
      <c r="T63" s="108"/>
      <c r="U63" s="108"/>
      <c r="V63" s="108"/>
      <c r="W63" s="108"/>
      <c r="X63" s="108"/>
      <c r="Y63" s="108"/>
      <c r="Z63" s="108"/>
      <c r="AA63" s="108"/>
      <c r="AB63" s="108"/>
      <c r="AC63" s="108"/>
      <c r="AD63" s="108"/>
      <c r="AE63" s="108"/>
      <c r="AF63" s="108"/>
      <c r="AG63" s="108"/>
      <c r="AH63" s="108"/>
      <c r="AI63" s="108"/>
      <c r="AJ63" s="108"/>
      <c r="AK63" s="108"/>
      <c r="AL63" s="108"/>
      <c r="AM63" s="108"/>
    </row>
    <row r="64" spans="1:39" x14ac:dyDescent="0.3">
      <c r="A64" s="162"/>
      <c r="B64" s="108"/>
      <c r="C64" s="108"/>
      <c r="D64" s="108"/>
      <c r="E64" s="108"/>
      <c r="F64" s="108"/>
      <c r="G64" s="108"/>
      <c r="H64" s="108"/>
      <c r="I64" s="108"/>
      <c r="J64" s="108"/>
      <c r="K64" s="108"/>
      <c r="L64" s="108"/>
      <c r="M64" s="108"/>
      <c r="N64" s="108"/>
      <c r="O64" s="108"/>
      <c r="P64" s="108"/>
      <c r="Q64" s="108"/>
      <c r="R64" s="108"/>
      <c r="S64" s="108"/>
      <c r="T64" s="108"/>
      <c r="U64" s="108"/>
      <c r="V64" s="108"/>
      <c r="W64" s="108"/>
      <c r="X64" s="108"/>
      <c r="Y64" s="108"/>
      <c r="Z64" s="108"/>
      <c r="AA64" s="108"/>
      <c r="AB64" s="108"/>
      <c r="AC64" s="108"/>
      <c r="AD64" s="108"/>
      <c r="AE64" s="108"/>
      <c r="AF64" s="108"/>
      <c r="AG64" s="108"/>
      <c r="AH64" s="108"/>
      <c r="AI64" s="108"/>
      <c r="AJ64" s="108"/>
      <c r="AK64" s="108"/>
      <c r="AL64" s="108"/>
      <c r="AM64" s="108"/>
    </row>
    <row r="65" spans="1:39" x14ac:dyDescent="0.3">
      <c r="A65" s="162"/>
      <c r="B65" s="108"/>
      <c r="C65" s="108"/>
      <c r="D65" s="108"/>
      <c r="E65" s="108"/>
      <c r="F65" s="108"/>
      <c r="G65" s="108"/>
      <c r="H65" s="108"/>
      <c r="I65" s="108"/>
      <c r="J65" s="108"/>
      <c r="K65" s="108"/>
      <c r="L65" s="108"/>
      <c r="M65" s="108"/>
      <c r="N65" s="108"/>
      <c r="O65" s="108"/>
      <c r="P65" s="108"/>
      <c r="Q65" s="108"/>
      <c r="R65" s="108"/>
      <c r="S65" s="108"/>
      <c r="T65" s="108"/>
      <c r="U65" s="108"/>
      <c r="V65" s="108"/>
      <c r="W65" s="108"/>
      <c r="X65" s="108"/>
      <c r="Y65" s="108"/>
      <c r="Z65" s="108"/>
      <c r="AA65" s="108"/>
      <c r="AB65" s="108"/>
      <c r="AC65" s="108"/>
      <c r="AD65" s="108"/>
      <c r="AE65" s="108"/>
      <c r="AF65" s="108"/>
      <c r="AG65" s="108"/>
      <c r="AH65" s="108"/>
      <c r="AI65" s="108"/>
      <c r="AJ65" s="108"/>
      <c r="AK65" s="108"/>
      <c r="AL65" s="108"/>
      <c r="AM65" s="108"/>
    </row>
    <row r="66" spans="1:39" x14ac:dyDescent="0.3">
      <c r="A66" s="162"/>
      <c r="B66" s="108"/>
      <c r="C66" s="108"/>
      <c r="D66" s="108"/>
      <c r="E66" s="108"/>
      <c r="F66" s="108"/>
      <c r="G66" s="108"/>
      <c r="H66" s="108"/>
      <c r="I66" s="108"/>
      <c r="J66" s="108"/>
      <c r="K66" s="108"/>
      <c r="L66" s="108"/>
      <c r="M66" s="108"/>
      <c r="N66" s="108"/>
      <c r="O66" s="108"/>
      <c r="P66" s="108"/>
      <c r="Q66" s="108"/>
      <c r="R66" s="108"/>
      <c r="S66" s="108"/>
      <c r="T66" s="108"/>
      <c r="U66" s="108"/>
      <c r="V66" s="108"/>
      <c r="W66" s="108"/>
      <c r="X66" s="108"/>
      <c r="Y66" s="108"/>
      <c r="Z66" s="108"/>
      <c r="AA66" s="108"/>
      <c r="AB66" s="108"/>
      <c r="AC66" s="108"/>
      <c r="AD66" s="108"/>
      <c r="AE66" s="108"/>
      <c r="AF66" s="108"/>
      <c r="AG66" s="108"/>
      <c r="AH66" s="108"/>
      <c r="AI66" s="108"/>
      <c r="AJ66" s="108"/>
      <c r="AK66" s="108"/>
      <c r="AL66" s="108"/>
      <c r="AM66" s="108"/>
    </row>
    <row r="67" spans="1:39" x14ac:dyDescent="0.3">
      <c r="A67" s="162"/>
      <c r="B67" s="108"/>
      <c r="C67" s="108"/>
      <c r="D67" s="108"/>
      <c r="E67" s="108"/>
      <c r="F67" s="108"/>
      <c r="G67" s="108"/>
      <c r="H67" s="108"/>
      <c r="I67" s="108"/>
      <c r="J67" s="108"/>
      <c r="K67" s="108"/>
      <c r="L67" s="108"/>
      <c r="M67" s="108"/>
      <c r="N67" s="108"/>
      <c r="O67" s="108"/>
      <c r="P67" s="108"/>
      <c r="Q67" s="108"/>
      <c r="R67" s="108"/>
      <c r="S67" s="108"/>
      <c r="T67" s="108"/>
      <c r="U67" s="108"/>
      <c r="V67" s="108"/>
      <c r="W67" s="108"/>
      <c r="X67" s="108"/>
      <c r="Y67" s="108"/>
      <c r="Z67" s="108"/>
      <c r="AA67" s="108"/>
      <c r="AB67" s="108"/>
      <c r="AC67" s="108"/>
      <c r="AD67" s="108"/>
      <c r="AE67" s="108"/>
      <c r="AF67" s="108"/>
      <c r="AG67" s="108"/>
      <c r="AH67" s="108"/>
      <c r="AI67" s="108"/>
      <c r="AJ67" s="108"/>
      <c r="AK67" s="108"/>
      <c r="AL67" s="108"/>
      <c r="AM67" s="108"/>
    </row>
    <row r="68" spans="1:39" x14ac:dyDescent="0.3">
      <c r="A68" s="162"/>
      <c r="B68" s="108"/>
      <c r="C68" s="108"/>
      <c r="D68" s="108"/>
      <c r="E68" s="108"/>
      <c r="F68" s="108"/>
      <c r="G68" s="108"/>
      <c r="H68" s="108"/>
      <c r="I68" s="108"/>
      <c r="J68" s="108"/>
      <c r="K68" s="108"/>
      <c r="L68" s="108"/>
      <c r="M68" s="108"/>
      <c r="N68" s="108"/>
      <c r="O68" s="108"/>
      <c r="P68" s="108"/>
      <c r="Q68" s="108"/>
      <c r="R68" s="108"/>
      <c r="S68" s="108"/>
      <c r="T68" s="108"/>
      <c r="U68" s="108"/>
      <c r="V68" s="108"/>
      <c r="W68" s="108"/>
      <c r="X68" s="108"/>
      <c r="Y68" s="108"/>
      <c r="Z68" s="108"/>
      <c r="AA68" s="108"/>
      <c r="AB68" s="108"/>
      <c r="AC68" s="108"/>
      <c r="AD68" s="108"/>
      <c r="AE68" s="108"/>
      <c r="AF68" s="108"/>
      <c r="AG68" s="108"/>
      <c r="AH68" s="108"/>
      <c r="AI68" s="108"/>
      <c r="AJ68" s="108"/>
      <c r="AK68" s="108"/>
      <c r="AL68" s="108"/>
      <c r="AM68" s="108"/>
    </row>
    <row r="69" spans="1:39" x14ac:dyDescent="0.3">
      <c r="A69" s="162"/>
      <c r="B69" s="108"/>
      <c r="C69" s="108"/>
      <c r="D69" s="108"/>
      <c r="E69" s="108"/>
      <c r="F69" s="108"/>
      <c r="G69" s="108"/>
      <c r="H69" s="108"/>
      <c r="I69" s="108"/>
      <c r="J69" s="108"/>
      <c r="K69" s="108"/>
      <c r="L69" s="108"/>
      <c r="M69" s="108"/>
      <c r="N69" s="108"/>
      <c r="O69" s="108"/>
      <c r="P69" s="108"/>
      <c r="Q69" s="108"/>
      <c r="R69" s="108"/>
      <c r="S69" s="108"/>
      <c r="T69" s="108"/>
      <c r="U69" s="108"/>
      <c r="V69" s="108"/>
      <c r="W69" s="108"/>
      <c r="X69" s="108"/>
      <c r="Y69" s="108"/>
      <c r="Z69" s="108"/>
      <c r="AA69" s="108"/>
      <c r="AB69" s="108"/>
      <c r="AC69" s="108"/>
      <c r="AD69" s="108"/>
      <c r="AE69" s="108"/>
      <c r="AF69" s="108"/>
      <c r="AG69" s="108"/>
      <c r="AH69" s="108"/>
      <c r="AI69" s="108"/>
      <c r="AJ69" s="108"/>
      <c r="AK69" s="108"/>
      <c r="AL69" s="108"/>
      <c r="AM69" s="108"/>
    </row>
    <row r="70" spans="1:39" x14ac:dyDescent="0.3">
      <c r="A70" s="162"/>
      <c r="B70" s="108"/>
      <c r="C70" s="108"/>
      <c r="D70" s="108"/>
      <c r="E70" s="108"/>
      <c r="F70" s="108"/>
      <c r="G70" s="108"/>
      <c r="H70" s="108"/>
      <c r="I70" s="108"/>
      <c r="J70" s="108"/>
      <c r="K70" s="108"/>
      <c r="L70" s="108"/>
      <c r="M70" s="108"/>
      <c r="N70" s="108"/>
      <c r="O70" s="108"/>
      <c r="P70" s="108"/>
      <c r="Q70" s="108"/>
      <c r="R70" s="108"/>
      <c r="S70" s="108"/>
      <c r="T70" s="108"/>
      <c r="U70" s="108"/>
      <c r="V70" s="108"/>
      <c r="W70" s="108"/>
      <c r="X70" s="108"/>
      <c r="Y70" s="108"/>
      <c r="Z70" s="108"/>
      <c r="AA70" s="108"/>
      <c r="AB70" s="108"/>
      <c r="AC70" s="108"/>
      <c r="AD70" s="108"/>
      <c r="AE70" s="108"/>
      <c r="AF70" s="108"/>
      <c r="AG70" s="108"/>
      <c r="AH70" s="108"/>
      <c r="AI70" s="108"/>
      <c r="AJ70" s="108"/>
      <c r="AK70" s="108"/>
      <c r="AL70" s="108"/>
      <c r="AM70" s="108"/>
    </row>
    <row r="71" spans="1:39" x14ac:dyDescent="0.3">
      <c r="A71" s="162"/>
      <c r="B71" s="108"/>
      <c r="C71" s="108"/>
      <c r="D71" s="108"/>
      <c r="E71" s="108"/>
      <c r="F71" s="108"/>
      <c r="G71" s="108"/>
      <c r="H71" s="108"/>
      <c r="I71" s="108"/>
      <c r="J71" s="108"/>
      <c r="K71" s="108"/>
      <c r="L71" s="108"/>
      <c r="M71" s="108"/>
      <c r="N71" s="108"/>
      <c r="O71" s="108"/>
      <c r="P71" s="108"/>
      <c r="Q71" s="108"/>
      <c r="R71" s="108"/>
      <c r="S71" s="108"/>
      <c r="T71" s="108"/>
      <c r="U71" s="108"/>
      <c r="V71" s="108"/>
      <c r="W71" s="108"/>
      <c r="X71" s="108"/>
      <c r="Y71" s="108"/>
      <c r="Z71" s="108"/>
      <c r="AA71" s="108"/>
      <c r="AB71" s="108"/>
      <c r="AC71" s="108"/>
      <c r="AD71" s="108"/>
      <c r="AE71" s="108"/>
      <c r="AF71" s="108"/>
      <c r="AG71" s="108"/>
      <c r="AH71" s="108"/>
      <c r="AI71" s="108"/>
      <c r="AJ71" s="108"/>
      <c r="AK71" s="108"/>
      <c r="AL71" s="108"/>
      <c r="AM71" s="108"/>
    </row>
    <row r="72" spans="1:39" x14ac:dyDescent="0.3">
      <c r="A72" s="162"/>
      <c r="B72" s="108"/>
      <c r="C72" s="108"/>
      <c r="D72" s="108"/>
      <c r="E72" s="108"/>
      <c r="F72" s="108"/>
      <c r="G72" s="108"/>
      <c r="H72" s="108"/>
      <c r="I72" s="108"/>
      <c r="J72" s="108"/>
      <c r="K72" s="108"/>
      <c r="L72" s="108"/>
      <c r="M72" s="108"/>
      <c r="N72" s="108"/>
      <c r="O72" s="108"/>
      <c r="P72" s="108"/>
      <c r="Q72" s="108"/>
      <c r="R72" s="108"/>
      <c r="S72" s="108"/>
      <c r="T72" s="108"/>
      <c r="U72" s="108"/>
      <c r="V72" s="108"/>
      <c r="W72" s="108"/>
      <c r="X72" s="108"/>
      <c r="Y72" s="108"/>
      <c r="Z72" s="108"/>
      <c r="AA72" s="108"/>
      <c r="AB72" s="108"/>
      <c r="AC72" s="108"/>
      <c r="AD72" s="108"/>
      <c r="AE72" s="108"/>
      <c r="AF72" s="108"/>
      <c r="AG72" s="108"/>
      <c r="AH72" s="108"/>
      <c r="AI72" s="108"/>
      <c r="AJ72" s="108"/>
      <c r="AK72" s="108"/>
      <c r="AL72" s="108"/>
      <c r="AM72" s="108"/>
    </row>
    <row r="73" spans="1:39" x14ac:dyDescent="0.3">
      <c r="A73" s="162"/>
      <c r="B73" s="108"/>
      <c r="C73" s="108"/>
      <c r="D73" s="108"/>
      <c r="E73" s="108"/>
      <c r="F73" s="108"/>
      <c r="G73" s="108"/>
      <c r="H73" s="108"/>
      <c r="I73" s="108"/>
      <c r="J73" s="108"/>
      <c r="K73" s="108"/>
      <c r="L73" s="108"/>
      <c r="M73" s="108"/>
      <c r="N73" s="108"/>
      <c r="O73" s="108"/>
      <c r="P73" s="108"/>
      <c r="Q73" s="108"/>
      <c r="R73" s="108"/>
      <c r="S73" s="108"/>
      <c r="T73" s="108"/>
      <c r="U73" s="108"/>
      <c r="V73" s="108"/>
      <c r="W73" s="108"/>
      <c r="X73" s="108"/>
      <c r="Y73" s="108"/>
      <c r="Z73" s="108"/>
      <c r="AA73" s="108"/>
      <c r="AB73" s="108"/>
      <c r="AC73" s="108"/>
      <c r="AD73" s="108"/>
      <c r="AE73" s="108"/>
      <c r="AF73" s="108"/>
      <c r="AG73" s="108"/>
      <c r="AH73" s="108"/>
      <c r="AI73" s="108"/>
      <c r="AJ73" s="108"/>
      <c r="AK73" s="108"/>
      <c r="AL73" s="108"/>
      <c r="AM73" s="108"/>
    </row>
    <row r="74" spans="1:39" x14ac:dyDescent="0.3">
      <c r="A74" s="162"/>
      <c r="B74" s="108"/>
      <c r="C74" s="108"/>
      <c r="D74" s="108"/>
      <c r="E74" s="108"/>
      <c r="F74" s="108"/>
      <c r="G74" s="108"/>
      <c r="H74" s="108"/>
      <c r="I74" s="108"/>
      <c r="J74" s="108"/>
      <c r="K74" s="108"/>
      <c r="L74" s="108"/>
      <c r="M74" s="108"/>
      <c r="N74" s="108"/>
      <c r="O74" s="108"/>
      <c r="P74" s="108"/>
      <c r="Q74" s="108"/>
      <c r="R74" s="108"/>
      <c r="S74" s="108"/>
      <c r="T74" s="108"/>
      <c r="U74" s="108"/>
      <c r="V74" s="108"/>
      <c r="W74" s="108"/>
      <c r="X74" s="108"/>
      <c r="Y74" s="108"/>
      <c r="Z74" s="108"/>
      <c r="AA74" s="108"/>
      <c r="AB74" s="108"/>
      <c r="AC74" s="108"/>
      <c r="AD74" s="108"/>
      <c r="AE74" s="108"/>
      <c r="AF74" s="108"/>
      <c r="AG74" s="108"/>
      <c r="AH74" s="108"/>
      <c r="AI74" s="108"/>
      <c r="AJ74" s="108"/>
      <c r="AK74" s="108"/>
      <c r="AL74" s="108"/>
      <c r="AM74" s="108"/>
    </row>
    <row r="75" spans="1:39" x14ac:dyDescent="0.3">
      <c r="A75" s="162"/>
      <c r="B75" s="108"/>
      <c r="C75" s="108"/>
      <c r="D75" s="108"/>
      <c r="E75" s="108"/>
      <c r="F75" s="108"/>
      <c r="G75" s="108"/>
      <c r="H75" s="108"/>
      <c r="I75" s="108"/>
      <c r="J75" s="108"/>
      <c r="K75" s="108"/>
      <c r="L75" s="108"/>
      <c r="M75" s="108"/>
      <c r="N75" s="108"/>
      <c r="O75" s="108"/>
      <c r="P75" s="108"/>
      <c r="Q75" s="108"/>
      <c r="R75" s="108"/>
      <c r="S75" s="108"/>
      <c r="T75" s="108"/>
      <c r="U75" s="108"/>
      <c r="V75" s="108"/>
      <c r="W75" s="108"/>
      <c r="X75" s="108"/>
      <c r="Y75" s="108"/>
      <c r="Z75" s="108"/>
      <c r="AA75" s="108"/>
      <c r="AB75" s="108"/>
      <c r="AC75" s="108"/>
      <c r="AD75" s="108"/>
      <c r="AE75" s="108"/>
      <c r="AF75" s="108"/>
      <c r="AG75" s="108"/>
      <c r="AH75" s="108"/>
      <c r="AI75" s="108"/>
      <c r="AJ75" s="108"/>
      <c r="AK75" s="108"/>
      <c r="AL75" s="108"/>
      <c r="AM75" s="108"/>
    </row>
    <row r="76" spans="1:39" x14ac:dyDescent="0.3">
      <c r="A76" s="162"/>
      <c r="B76" s="108"/>
      <c r="C76" s="108"/>
      <c r="D76" s="108"/>
      <c r="E76" s="108"/>
      <c r="F76" s="108"/>
      <c r="G76" s="108"/>
      <c r="H76" s="108"/>
      <c r="I76" s="108"/>
      <c r="J76" s="108"/>
      <c r="K76" s="108"/>
      <c r="L76" s="108"/>
      <c r="M76" s="108"/>
      <c r="N76" s="108"/>
      <c r="O76" s="108"/>
      <c r="P76" s="108"/>
      <c r="Q76" s="108"/>
      <c r="R76" s="108"/>
      <c r="S76" s="108"/>
      <c r="T76" s="108"/>
      <c r="U76" s="108"/>
      <c r="V76" s="108"/>
      <c r="W76" s="108"/>
      <c r="X76" s="108"/>
      <c r="Y76" s="108"/>
      <c r="Z76" s="108"/>
      <c r="AA76" s="108"/>
      <c r="AB76" s="108"/>
      <c r="AC76" s="108"/>
      <c r="AD76" s="108"/>
      <c r="AE76" s="108"/>
      <c r="AF76" s="108"/>
      <c r="AG76" s="108"/>
      <c r="AH76" s="108"/>
      <c r="AI76" s="108"/>
      <c r="AJ76" s="108"/>
      <c r="AK76" s="108"/>
      <c r="AL76" s="108"/>
      <c r="AM76" s="108"/>
    </row>
    <row r="77" spans="1:39" x14ac:dyDescent="0.3">
      <c r="A77" s="162"/>
      <c r="B77" s="108"/>
      <c r="C77" s="108"/>
      <c r="D77" s="108"/>
      <c r="E77" s="108"/>
      <c r="F77" s="108"/>
      <c r="G77" s="108"/>
      <c r="H77" s="108"/>
      <c r="I77" s="108"/>
      <c r="J77" s="108"/>
      <c r="K77" s="108"/>
      <c r="L77" s="108"/>
      <c r="M77" s="108"/>
      <c r="N77" s="108"/>
      <c r="O77" s="108"/>
      <c r="P77" s="108"/>
      <c r="Q77" s="108"/>
      <c r="R77" s="108"/>
      <c r="S77" s="108"/>
      <c r="T77" s="108"/>
      <c r="U77" s="108"/>
      <c r="V77" s="108"/>
      <c r="W77" s="108"/>
      <c r="X77" s="108"/>
      <c r="Y77" s="108"/>
      <c r="Z77" s="108"/>
      <c r="AA77" s="108"/>
      <c r="AB77" s="108"/>
      <c r="AC77" s="108"/>
      <c r="AD77" s="108"/>
      <c r="AE77" s="108"/>
      <c r="AF77" s="108"/>
      <c r="AG77" s="108"/>
      <c r="AH77" s="108"/>
      <c r="AI77" s="108"/>
      <c r="AJ77" s="108"/>
      <c r="AK77" s="108"/>
      <c r="AL77" s="108"/>
      <c r="AM77" s="108"/>
    </row>
    <row r="78" spans="1:39" x14ac:dyDescent="0.3">
      <c r="A78" s="162"/>
      <c r="B78" s="108"/>
      <c r="C78" s="108"/>
      <c r="D78" s="108"/>
      <c r="E78" s="108"/>
      <c r="F78" s="108"/>
      <c r="G78" s="108"/>
      <c r="H78" s="108"/>
      <c r="I78" s="108"/>
      <c r="J78" s="108"/>
      <c r="K78" s="108"/>
      <c r="L78" s="108"/>
      <c r="M78" s="108"/>
      <c r="N78" s="108"/>
      <c r="O78" s="108"/>
      <c r="P78" s="108"/>
      <c r="Q78" s="108"/>
      <c r="R78" s="108"/>
      <c r="S78" s="108"/>
      <c r="T78" s="108"/>
      <c r="U78" s="108"/>
      <c r="V78" s="108"/>
      <c r="W78" s="108"/>
      <c r="X78" s="108"/>
      <c r="Y78" s="108"/>
      <c r="Z78" s="108"/>
      <c r="AA78" s="108"/>
      <c r="AB78" s="108"/>
      <c r="AC78" s="108"/>
      <c r="AD78" s="108"/>
      <c r="AE78" s="108"/>
      <c r="AF78" s="108"/>
      <c r="AG78" s="108"/>
      <c r="AH78" s="108"/>
      <c r="AI78" s="108"/>
      <c r="AJ78" s="108"/>
      <c r="AK78" s="108"/>
      <c r="AL78" s="108"/>
      <c r="AM78" s="108"/>
    </row>
    <row r="79" spans="1:39" x14ac:dyDescent="0.3">
      <c r="A79" s="162"/>
      <c r="B79" s="108"/>
      <c r="C79" s="108"/>
      <c r="D79" s="108"/>
      <c r="E79" s="108"/>
      <c r="F79" s="108"/>
      <c r="G79" s="108"/>
      <c r="H79" s="108"/>
      <c r="I79" s="108"/>
      <c r="J79" s="108"/>
      <c r="K79" s="108"/>
      <c r="L79" s="108"/>
      <c r="M79" s="108"/>
      <c r="N79" s="108"/>
      <c r="O79" s="108"/>
      <c r="P79" s="108"/>
      <c r="Q79" s="108"/>
      <c r="R79" s="108"/>
      <c r="S79" s="108"/>
      <c r="T79" s="108"/>
      <c r="U79" s="108"/>
      <c r="V79" s="108"/>
      <c r="W79" s="108"/>
      <c r="X79" s="108"/>
      <c r="Y79" s="108"/>
      <c r="Z79" s="108"/>
      <c r="AA79" s="108"/>
      <c r="AB79" s="108"/>
      <c r="AC79" s="108"/>
      <c r="AD79" s="108"/>
      <c r="AE79" s="108"/>
      <c r="AF79" s="108"/>
      <c r="AG79" s="108"/>
      <c r="AH79" s="108"/>
      <c r="AI79" s="108"/>
      <c r="AJ79" s="108"/>
      <c r="AK79" s="108"/>
      <c r="AL79" s="108"/>
      <c r="AM79" s="108"/>
    </row>
    <row r="80" spans="1:39" x14ac:dyDescent="0.3">
      <c r="A80" s="162"/>
      <c r="B80" s="108"/>
      <c r="C80" s="108"/>
      <c r="D80" s="108"/>
      <c r="E80" s="108"/>
      <c r="F80" s="108"/>
      <c r="G80" s="108"/>
      <c r="H80" s="108"/>
      <c r="I80" s="108"/>
      <c r="J80" s="108"/>
      <c r="K80" s="108"/>
      <c r="L80" s="108"/>
      <c r="M80" s="108"/>
      <c r="N80" s="108"/>
      <c r="O80" s="108"/>
      <c r="P80" s="108"/>
      <c r="Q80" s="108"/>
      <c r="R80" s="108"/>
      <c r="S80" s="108"/>
      <c r="T80" s="108"/>
      <c r="U80" s="108"/>
      <c r="V80" s="108"/>
      <c r="W80" s="108"/>
      <c r="X80" s="108"/>
      <c r="Y80" s="108"/>
      <c r="Z80" s="108"/>
      <c r="AA80" s="108"/>
      <c r="AB80" s="108"/>
      <c r="AC80" s="108"/>
      <c r="AD80" s="108"/>
      <c r="AE80" s="108"/>
      <c r="AF80" s="108"/>
      <c r="AG80" s="108"/>
      <c r="AH80" s="108"/>
      <c r="AI80" s="108"/>
      <c r="AJ80" s="108"/>
      <c r="AK80" s="108"/>
      <c r="AL80" s="108"/>
      <c r="AM80" s="108"/>
    </row>
    <row r="81" spans="1:39" x14ac:dyDescent="0.3">
      <c r="A81" s="162"/>
      <c r="B81" s="108"/>
      <c r="C81" s="108"/>
      <c r="D81" s="108"/>
      <c r="E81" s="108"/>
      <c r="F81" s="108"/>
      <c r="G81" s="108"/>
      <c r="H81" s="108"/>
      <c r="I81" s="108"/>
      <c r="J81" s="108"/>
      <c r="K81" s="108"/>
      <c r="L81" s="108"/>
      <c r="M81" s="108"/>
      <c r="N81" s="108"/>
      <c r="O81" s="108"/>
      <c r="P81" s="108"/>
      <c r="Q81" s="108"/>
      <c r="R81" s="108"/>
      <c r="S81" s="108"/>
      <c r="T81" s="108"/>
      <c r="U81" s="108"/>
      <c r="V81" s="108"/>
      <c r="W81" s="108"/>
      <c r="X81" s="108"/>
      <c r="Y81" s="108"/>
      <c r="Z81" s="108"/>
      <c r="AA81" s="108"/>
      <c r="AB81" s="108"/>
      <c r="AC81" s="108"/>
      <c r="AD81" s="108"/>
      <c r="AE81" s="108"/>
      <c r="AF81" s="108"/>
      <c r="AG81" s="108"/>
      <c r="AH81" s="108"/>
      <c r="AI81" s="108"/>
      <c r="AJ81" s="108"/>
      <c r="AK81" s="108"/>
      <c r="AL81" s="108"/>
      <c r="AM81" s="108"/>
    </row>
    <row r="82" spans="1:39" x14ac:dyDescent="0.3">
      <c r="A82" s="162"/>
      <c r="B82" s="108"/>
      <c r="C82" s="108"/>
      <c r="D82" s="108"/>
      <c r="E82" s="108"/>
      <c r="F82" s="108"/>
      <c r="G82" s="108"/>
      <c r="H82" s="108"/>
      <c r="I82" s="108"/>
      <c r="J82" s="108"/>
      <c r="K82" s="108"/>
      <c r="L82" s="108"/>
      <c r="M82" s="108"/>
      <c r="N82" s="108"/>
      <c r="O82" s="108"/>
      <c r="P82" s="108"/>
      <c r="Q82" s="108"/>
      <c r="R82" s="108"/>
      <c r="S82" s="108"/>
      <c r="T82" s="108"/>
      <c r="U82" s="108"/>
      <c r="V82" s="108"/>
      <c r="W82" s="108"/>
      <c r="X82" s="108"/>
      <c r="Y82" s="108"/>
      <c r="Z82" s="108"/>
      <c r="AA82" s="108"/>
      <c r="AB82" s="108"/>
      <c r="AC82" s="108"/>
      <c r="AD82" s="108"/>
      <c r="AE82" s="108"/>
      <c r="AF82" s="108"/>
      <c r="AG82" s="108"/>
      <c r="AH82" s="108"/>
      <c r="AI82" s="108"/>
      <c r="AJ82" s="108"/>
      <c r="AK82" s="108"/>
      <c r="AL82" s="108"/>
      <c r="AM82" s="108"/>
    </row>
    <row r="83" spans="1:39" x14ac:dyDescent="0.3">
      <c r="A83" s="162"/>
      <c r="B83" s="108"/>
      <c r="C83" s="108"/>
      <c r="D83" s="108"/>
      <c r="E83" s="108"/>
      <c r="F83" s="108"/>
      <c r="G83" s="108"/>
      <c r="H83" s="108"/>
      <c r="I83" s="108"/>
      <c r="J83" s="108"/>
      <c r="K83" s="108"/>
      <c r="L83" s="108"/>
      <c r="M83" s="108"/>
      <c r="N83" s="108"/>
      <c r="O83" s="108"/>
      <c r="P83" s="108"/>
      <c r="Q83" s="108"/>
      <c r="R83" s="108"/>
      <c r="S83" s="108"/>
      <c r="T83" s="108"/>
      <c r="U83" s="108"/>
      <c r="V83" s="108"/>
      <c r="W83" s="108"/>
      <c r="X83" s="108"/>
      <c r="Y83" s="108"/>
      <c r="Z83" s="108"/>
      <c r="AA83" s="108"/>
      <c r="AB83" s="108"/>
      <c r="AC83" s="108"/>
      <c r="AD83" s="108"/>
      <c r="AE83" s="108"/>
      <c r="AF83" s="108"/>
      <c r="AG83" s="108"/>
      <c r="AH83" s="108"/>
      <c r="AI83" s="108"/>
      <c r="AJ83" s="108"/>
      <c r="AK83" s="108"/>
      <c r="AL83" s="108"/>
      <c r="AM83" s="108"/>
    </row>
    <row r="84" spans="1:39" x14ac:dyDescent="0.3">
      <c r="A84" s="162"/>
      <c r="B84" s="108"/>
      <c r="C84" s="108"/>
      <c r="D84" s="108"/>
      <c r="E84" s="108"/>
      <c r="F84" s="108"/>
      <c r="G84" s="108"/>
      <c r="H84" s="108"/>
      <c r="I84" s="108"/>
      <c r="J84" s="108"/>
      <c r="K84" s="108"/>
      <c r="L84" s="108"/>
      <c r="M84" s="108"/>
      <c r="N84" s="108"/>
      <c r="O84" s="108"/>
      <c r="P84" s="108"/>
      <c r="Q84" s="108"/>
      <c r="R84" s="108"/>
      <c r="S84" s="108"/>
      <c r="T84" s="108"/>
      <c r="U84" s="108"/>
      <c r="V84" s="108"/>
      <c r="W84" s="108"/>
      <c r="X84" s="108"/>
      <c r="Y84" s="108"/>
      <c r="Z84" s="108"/>
      <c r="AA84" s="108"/>
      <c r="AB84" s="108"/>
      <c r="AC84" s="108"/>
      <c r="AD84" s="108"/>
      <c r="AE84" s="108"/>
      <c r="AF84" s="108"/>
      <c r="AG84" s="108"/>
      <c r="AH84" s="108"/>
      <c r="AI84" s="108"/>
      <c r="AJ84" s="108"/>
      <c r="AK84" s="108"/>
      <c r="AL84" s="108"/>
      <c r="AM84" s="108"/>
    </row>
    <row r="85" spans="1:39" x14ac:dyDescent="0.3">
      <c r="A85" s="162"/>
      <c r="B85" s="108"/>
      <c r="C85" s="108"/>
      <c r="D85" s="108"/>
      <c r="E85" s="108"/>
      <c r="F85" s="108"/>
      <c r="G85" s="108"/>
      <c r="H85" s="108"/>
      <c r="I85" s="108"/>
      <c r="J85" s="108"/>
      <c r="K85" s="108"/>
      <c r="L85" s="108"/>
      <c r="M85" s="108"/>
      <c r="N85" s="108"/>
      <c r="O85" s="108"/>
      <c r="P85" s="108"/>
      <c r="Q85" s="108"/>
      <c r="R85" s="108"/>
      <c r="S85" s="108"/>
      <c r="T85" s="108"/>
      <c r="U85" s="108"/>
      <c r="V85" s="108"/>
      <c r="W85" s="108"/>
      <c r="X85" s="108"/>
      <c r="Y85" s="108"/>
      <c r="Z85" s="108"/>
      <c r="AA85" s="108"/>
      <c r="AB85" s="108"/>
      <c r="AC85" s="108"/>
      <c r="AD85" s="108"/>
      <c r="AE85" s="108"/>
      <c r="AF85" s="108"/>
      <c r="AG85" s="108"/>
      <c r="AH85" s="108"/>
      <c r="AI85" s="108"/>
      <c r="AJ85" s="108"/>
      <c r="AK85" s="108"/>
      <c r="AL85" s="108"/>
      <c r="AM85" s="108"/>
    </row>
    <row r="86" spans="1:39" x14ac:dyDescent="0.3">
      <c r="A86" s="162"/>
      <c r="B86" s="108"/>
      <c r="C86" s="108"/>
      <c r="D86" s="108"/>
      <c r="E86" s="108"/>
      <c r="F86" s="108"/>
      <c r="G86" s="108"/>
      <c r="H86" s="108"/>
      <c r="I86" s="108"/>
      <c r="J86" s="108"/>
      <c r="K86" s="108"/>
      <c r="L86" s="108"/>
      <c r="M86" s="108"/>
      <c r="N86" s="108"/>
      <c r="O86" s="108"/>
      <c r="P86" s="108"/>
      <c r="Q86" s="108"/>
      <c r="R86" s="108"/>
      <c r="S86" s="108"/>
      <c r="T86" s="108"/>
      <c r="U86" s="108"/>
      <c r="V86" s="108"/>
      <c r="W86" s="108"/>
      <c r="X86" s="108"/>
      <c r="Y86" s="108"/>
      <c r="Z86" s="108"/>
      <c r="AA86" s="108"/>
      <c r="AB86" s="108"/>
      <c r="AC86" s="108"/>
      <c r="AD86" s="108"/>
      <c r="AE86" s="108"/>
      <c r="AF86" s="108"/>
      <c r="AG86" s="108"/>
      <c r="AH86" s="108"/>
      <c r="AI86" s="108"/>
      <c r="AJ86" s="108"/>
      <c r="AK86" s="108"/>
      <c r="AL86" s="108"/>
      <c r="AM86" s="108"/>
    </row>
    <row r="87" spans="1:39" x14ac:dyDescent="0.3">
      <c r="A87" s="162"/>
      <c r="B87" s="108"/>
      <c r="C87" s="108"/>
      <c r="D87" s="108"/>
      <c r="E87" s="108"/>
      <c r="F87" s="108"/>
      <c r="G87" s="108"/>
      <c r="H87" s="108"/>
      <c r="I87" s="108"/>
      <c r="J87" s="108"/>
      <c r="K87" s="108"/>
      <c r="L87" s="108"/>
      <c r="M87" s="108"/>
      <c r="N87" s="108"/>
      <c r="O87" s="108"/>
      <c r="P87" s="108"/>
      <c r="Q87" s="108"/>
      <c r="R87" s="108"/>
      <c r="S87" s="108"/>
      <c r="T87" s="108"/>
      <c r="U87" s="108"/>
      <c r="V87" s="108"/>
      <c r="W87" s="108"/>
      <c r="X87" s="108"/>
      <c r="Y87" s="108"/>
      <c r="Z87" s="108"/>
      <c r="AA87" s="108"/>
      <c r="AB87" s="108"/>
      <c r="AC87" s="108"/>
      <c r="AD87" s="108"/>
      <c r="AE87" s="108"/>
      <c r="AF87" s="108"/>
      <c r="AG87" s="108"/>
      <c r="AH87" s="108"/>
      <c r="AI87" s="108"/>
      <c r="AJ87" s="108"/>
      <c r="AK87" s="108"/>
      <c r="AL87" s="108"/>
      <c r="AM87" s="108"/>
    </row>
    <row r="88" spans="1:39" x14ac:dyDescent="0.3">
      <c r="A88" s="162"/>
      <c r="B88" s="108"/>
      <c r="C88" s="108"/>
      <c r="D88" s="108"/>
      <c r="E88" s="108"/>
      <c r="F88" s="108"/>
      <c r="G88" s="108"/>
      <c r="H88" s="108"/>
      <c r="I88" s="108"/>
      <c r="J88" s="108"/>
      <c r="K88" s="108"/>
      <c r="L88" s="108"/>
      <c r="M88" s="108"/>
      <c r="N88" s="108"/>
      <c r="O88" s="108"/>
      <c r="P88" s="108"/>
      <c r="Q88" s="108"/>
      <c r="R88" s="108"/>
      <c r="S88" s="108"/>
      <c r="T88" s="108"/>
      <c r="U88" s="108"/>
      <c r="V88" s="108"/>
      <c r="W88" s="108"/>
      <c r="X88" s="108"/>
      <c r="Y88" s="108"/>
      <c r="Z88" s="108"/>
      <c r="AA88" s="108"/>
      <c r="AB88" s="108"/>
      <c r="AC88" s="108"/>
      <c r="AD88" s="108"/>
      <c r="AE88" s="108"/>
      <c r="AF88" s="108"/>
      <c r="AG88" s="108"/>
      <c r="AH88" s="108"/>
      <c r="AI88" s="108"/>
      <c r="AJ88" s="108"/>
      <c r="AK88" s="108"/>
      <c r="AL88" s="108"/>
      <c r="AM88" s="108"/>
    </row>
    <row r="89" spans="1:39" x14ac:dyDescent="0.3">
      <c r="A89" s="162"/>
      <c r="B89" s="108"/>
      <c r="C89" s="108"/>
      <c r="D89" s="108"/>
      <c r="E89" s="108"/>
      <c r="F89" s="108"/>
      <c r="G89" s="108"/>
      <c r="H89" s="108"/>
      <c r="I89" s="108"/>
      <c r="J89" s="108"/>
      <c r="K89" s="108"/>
      <c r="L89" s="108"/>
      <c r="M89" s="108"/>
      <c r="N89" s="108"/>
      <c r="O89" s="108"/>
      <c r="P89" s="108"/>
      <c r="Q89" s="108"/>
      <c r="R89" s="108"/>
      <c r="S89" s="108"/>
      <c r="T89" s="108"/>
      <c r="U89" s="108"/>
      <c r="V89" s="108"/>
      <c r="W89" s="108"/>
      <c r="X89" s="108"/>
      <c r="Y89" s="108"/>
      <c r="Z89" s="108"/>
      <c r="AA89" s="108"/>
      <c r="AB89" s="108"/>
      <c r="AC89" s="108"/>
      <c r="AD89" s="108"/>
      <c r="AE89" s="108"/>
      <c r="AF89" s="108"/>
      <c r="AG89" s="108"/>
      <c r="AH89" s="108"/>
      <c r="AI89" s="108"/>
      <c r="AJ89" s="108"/>
      <c r="AK89" s="108"/>
      <c r="AL89" s="108"/>
      <c r="AM89" s="108"/>
    </row>
    <row r="90" spans="1:39" x14ac:dyDescent="0.3">
      <c r="A90" s="162"/>
      <c r="B90" s="108"/>
      <c r="C90" s="108"/>
      <c r="D90" s="108"/>
      <c r="E90" s="108"/>
      <c r="F90" s="108"/>
      <c r="G90" s="108"/>
      <c r="H90" s="108"/>
      <c r="I90" s="108"/>
      <c r="J90" s="108"/>
      <c r="K90" s="108"/>
      <c r="L90" s="108"/>
      <c r="M90" s="108"/>
      <c r="N90" s="108"/>
      <c r="O90" s="108"/>
      <c r="P90" s="108"/>
      <c r="Q90" s="108"/>
      <c r="R90" s="108"/>
      <c r="S90" s="108"/>
      <c r="T90" s="108"/>
      <c r="U90" s="108"/>
      <c r="V90" s="108"/>
      <c r="W90" s="108"/>
      <c r="X90" s="108"/>
      <c r="Y90" s="108"/>
      <c r="Z90" s="108"/>
      <c r="AA90" s="108"/>
      <c r="AB90" s="108"/>
      <c r="AC90" s="108"/>
      <c r="AD90" s="108"/>
      <c r="AE90" s="108"/>
      <c r="AF90" s="108"/>
      <c r="AG90" s="108"/>
      <c r="AH90" s="108"/>
      <c r="AI90" s="108"/>
      <c r="AJ90" s="108"/>
      <c r="AK90" s="108"/>
      <c r="AL90" s="108"/>
      <c r="AM90" s="108"/>
    </row>
    <row r="91" spans="1:39" x14ac:dyDescent="0.3">
      <c r="A91" s="162"/>
      <c r="B91" s="108"/>
      <c r="C91" s="108"/>
      <c r="D91" s="108"/>
      <c r="E91" s="108"/>
      <c r="F91" s="108"/>
      <c r="G91" s="108"/>
      <c r="H91" s="108"/>
      <c r="I91" s="108"/>
      <c r="J91" s="108"/>
      <c r="K91" s="108"/>
      <c r="L91" s="108"/>
      <c r="M91" s="108"/>
      <c r="N91" s="108"/>
      <c r="O91" s="108"/>
      <c r="P91" s="108"/>
      <c r="Q91" s="108"/>
      <c r="R91" s="108"/>
      <c r="S91" s="108"/>
      <c r="T91" s="108"/>
      <c r="U91" s="108"/>
      <c r="V91" s="108"/>
      <c r="W91" s="108"/>
      <c r="X91" s="108"/>
      <c r="Y91" s="108"/>
      <c r="Z91" s="108"/>
      <c r="AA91" s="108"/>
      <c r="AB91" s="108"/>
      <c r="AC91" s="108"/>
      <c r="AD91" s="108"/>
      <c r="AE91" s="108"/>
      <c r="AF91" s="108"/>
      <c r="AG91" s="108"/>
      <c r="AH91" s="108"/>
      <c r="AI91" s="108"/>
      <c r="AJ91" s="108"/>
      <c r="AK91" s="108"/>
      <c r="AL91" s="108"/>
      <c r="AM91" s="108"/>
    </row>
    <row r="92" spans="1:39" x14ac:dyDescent="0.3">
      <c r="A92" s="162"/>
      <c r="B92" s="108"/>
      <c r="C92" s="108"/>
      <c r="D92" s="108"/>
      <c r="E92" s="108"/>
      <c r="F92" s="108"/>
      <c r="G92" s="108"/>
      <c r="H92" s="108"/>
      <c r="I92" s="108"/>
      <c r="J92" s="108"/>
      <c r="K92" s="108"/>
      <c r="L92" s="108"/>
      <c r="M92" s="108"/>
      <c r="N92" s="108"/>
      <c r="O92" s="108"/>
      <c r="P92" s="108"/>
      <c r="Q92" s="108"/>
      <c r="R92" s="108"/>
      <c r="S92" s="108"/>
      <c r="T92" s="108"/>
      <c r="U92" s="108"/>
      <c r="V92" s="108"/>
      <c r="W92" s="108"/>
      <c r="X92" s="108"/>
      <c r="Y92" s="108"/>
      <c r="Z92" s="108"/>
      <c r="AA92" s="108"/>
      <c r="AB92" s="108"/>
      <c r="AC92" s="108"/>
      <c r="AD92" s="108"/>
      <c r="AE92" s="108"/>
      <c r="AF92" s="108"/>
      <c r="AG92" s="108"/>
      <c r="AH92" s="108"/>
      <c r="AI92" s="108"/>
      <c r="AJ92" s="108"/>
      <c r="AK92" s="108"/>
      <c r="AL92" s="108"/>
      <c r="AM92" s="108"/>
    </row>
    <row r="93" spans="1:39" x14ac:dyDescent="0.3">
      <c r="A93" s="162"/>
      <c r="B93" s="108"/>
      <c r="C93" s="108"/>
      <c r="D93" s="108"/>
      <c r="E93" s="108"/>
      <c r="F93" s="108"/>
      <c r="G93" s="108"/>
      <c r="H93" s="108"/>
      <c r="I93" s="108"/>
      <c r="J93" s="108"/>
      <c r="K93" s="108"/>
      <c r="L93" s="108"/>
      <c r="M93" s="108"/>
      <c r="N93" s="108"/>
      <c r="O93" s="108"/>
      <c r="P93" s="108"/>
      <c r="Q93" s="108"/>
      <c r="R93" s="108"/>
      <c r="S93" s="108"/>
      <c r="T93" s="108"/>
      <c r="U93" s="108"/>
      <c r="V93" s="108"/>
      <c r="W93" s="108"/>
      <c r="X93" s="108"/>
      <c r="Y93" s="108"/>
      <c r="Z93" s="108"/>
      <c r="AA93" s="108"/>
      <c r="AB93" s="108"/>
      <c r="AC93" s="108"/>
      <c r="AD93" s="108"/>
      <c r="AE93" s="108"/>
      <c r="AF93" s="108"/>
      <c r="AG93" s="108"/>
      <c r="AH93" s="108"/>
      <c r="AI93" s="108"/>
      <c r="AJ93" s="108"/>
      <c r="AK93" s="108"/>
      <c r="AL93" s="108"/>
      <c r="AM93" s="108"/>
    </row>
    <row r="94" spans="1:39" x14ac:dyDescent="0.3">
      <c r="A94" s="162"/>
      <c r="B94" s="108"/>
      <c r="C94" s="108"/>
      <c r="D94" s="108"/>
      <c r="E94" s="108"/>
      <c r="F94" s="108"/>
      <c r="G94" s="108"/>
      <c r="H94" s="108"/>
      <c r="I94" s="108"/>
      <c r="J94" s="108"/>
      <c r="K94" s="108"/>
      <c r="L94" s="108"/>
      <c r="M94" s="108"/>
      <c r="N94" s="108"/>
      <c r="O94" s="108"/>
      <c r="P94" s="108"/>
      <c r="Q94" s="108"/>
      <c r="R94" s="108"/>
      <c r="S94" s="108"/>
      <c r="T94" s="108"/>
      <c r="U94" s="108"/>
      <c r="V94" s="108"/>
      <c r="W94" s="108"/>
      <c r="X94" s="108"/>
      <c r="Y94" s="108"/>
      <c r="Z94" s="108"/>
      <c r="AA94" s="108"/>
      <c r="AB94" s="108"/>
      <c r="AC94" s="108"/>
      <c r="AD94" s="108"/>
      <c r="AE94" s="108"/>
      <c r="AF94" s="108"/>
      <c r="AG94" s="108"/>
      <c r="AH94" s="108"/>
      <c r="AI94" s="108"/>
      <c r="AJ94" s="108"/>
      <c r="AK94" s="108"/>
      <c r="AL94" s="108"/>
      <c r="AM94" s="108"/>
    </row>
  </sheetData>
  <sheetProtection sheet="1" objects="1" scenarios="1" selectLockedCells="1"/>
  <dataValidations xWindow="920" yWindow="599" count="15">
    <dataValidation type="custom" allowBlank="1" showInputMessage="1" showErrorMessage="1" errorTitle="Error" error="Input MUST BE ONLY INTEGER. " promptTitle="Bank Account" prompt="Enter bank account and it MUST BE ACCURATE if you want to get tax refund. " sqref="C21" xr:uid="{F11DBC10-C5AB-4820-9095-5115E0023711}">
      <formula1>ISNUMBER(C21)</formula1>
    </dataValidation>
    <dataValidation type="list" allowBlank="1" showInputMessage="1" showErrorMessage="1" errorTitle="Error" error="Please select the name of bank based on the selection given. " promptTitle="Bank Details" prompt="Select the Name Of Bank that link to your bank account." sqref="C19" xr:uid="{2B00CB95-F785-4A34-A9EF-24AA2D681004}">
      <formula1>"Maybank, CIMB Bank, Public Bank Berhad, RHB Bank, Hong Leong Bank, AmBank, UOB Malaysia, Bank Rakyat, OCBC Bank, HSBC Bank, Bank Islam Malaysia, Affin Bank, Alliance Bank Malaysia Berhad, Citibank Malaysia, Bank Simpanan Nasional (BSN)"</formula1>
    </dataValidation>
    <dataValidation type="list" allowBlank="1" showInputMessage="1" showErrorMessage="1" errorTitle="Error" error="Please select on the selection given" promptTitle="Disposal of assest" prompt="Select Yes if you have sold any property in the last year." sqref="C16" xr:uid="{889F6D49-6348-4D05-A02E-BBC161B9606F}">
      <formula1>"Yes,  No"</formula1>
    </dataValidation>
    <dataValidation type="custom" allowBlank="1" showInputMessage="1" showErrorMessage="1" errorTitle="Error" error="Enter employer no without E and Only INTEGER" promptTitle="Employer  Identification Number" prompt="Enter without E (10 digit)" sqref="C15" xr:uid="{F2FF46F2-4400-47F3-B008-C1E917E27065}">
      <formula1>AND(LEN(C15)=10, ISNUMBER(C15+0))</formula1>
    </dataValidation>
    <dataValidation allowBlank="1" showInputMessage="1" showErrorMessage="1" prompt="Email Address" sqref="C13:C14" xr:uid="{6923E9AA-3F10-4BF1-B0B0-192307A94CE9}"/>
    <dataValidation type="custom" allowBlank="1" showInputMessage="1" showErrorMessage="1" errorTitle="Error" error="Enter only INTEGER and without &quot;-&quot;. " promptTitle="Telephone No" prompt="Enter telephone number without &quot;-&quot;." sqref="C12" xr:uid="{D62B138B-C61F-48E8-89C5-7C987EF0DCEA}">
      <formula1>AND(EXACT(LEFT(C12,1), "0"), LEN(C12)=10, ISNUMBER(C12+0))</formula1>
    </dataValidation>
    <dataValidation type="custom" allowBlank="1" showInputMessage="1" showErrorMessage="1" errorTitle="Error" error="i) Invalid Handphone Number_x000a_   (Format: 0100000000)_x000a__x000a_ii) Must be the correct handphone number that use to register LHDNM." promptTitle="Handphone Number" prompt="Must be the correct handphone number without &quot;-&quot; that use to register LHDNM previously as LHDN will send a TAC code when you sign and submit the form. _x000a_If handphone number changed, please update at the settings. " sqref="C11" xr:uid="{250F9F28-BB0F-4BA6-B43F-319E3B49F9A4}">
      <formula1>AND(EXACT(LEFT(C11,2), "01"), LEN(C11)=10, ISNUMBER(C11+0))</formula1>
    </dataValidation>
    <dataValidation type="list" allowBlank="1" showInputMessage="1" showErrorMessage="1" errorTitle="Error" error="Please only select the selection given." promptTitle="Citizen" prompt="Select citizen if you are a Malaysian, otherwise select non-citizen." sqref="C5" xr:uid="{3FD8BEE6-F72F-409B-9C81-7B80863AE663}">
      <formula1>"Citizen, Non-Citizen"</formula1>
    </dataValidation>
    <dataValidation type="custom" allowBlank="1" showInputMessage="1" showErrorMessage="1" errorTitle="Error" error="Enter with this format: SG-000000 or OG-000000" promptTitle="Income Tax No" prompt="Enter with SG-000000 or OG-000000" sqref="C3" xr:uid="{F9C043CB-050F-406D-A9A8-C647C196AFD3}">
      <formula1>AND(LEN(C3)=9, OR(COUNTIF(C3, "SG-*"), COUNTIF(C3, "OG-*")))</formula1>
    </dataValidation>
    <dataValidation type="custom" allowBlank="1" showInputMessage="1" showErrorMessage="1" errorTitle="Error" error="IC Number MUST BE INTEGER and without &quot;-&quot;._x000a_" promptTitle="IC Number" prompt="Enter IC number without &quot;-&quot;." sqref="C4" xr:uid="{EC8E59FB-6625-4A04-9E8C-544528FC4055}">
      <formula1>AND(LEN(C4)=12, ISNUMBER(C4+0))</formula1>
    </dataValidation>
    <dataValidation type="custom" allowBlank="1" showInputMessage="1" showErrorMessage="1" errorTitle="Error" error="Invalid Input. Please enter only alphabet. " prompt="Name_x000a_" sqref="C2" xr:uid="{2A48EE4E-9E5E-4813-839A-CA92B55D2EB5}">
      <formula1>OR(C2="", SUMPRODUCT(SEARCH(MID(C2,ROW(INDIRECT("1:"&amp;LEN(C2))),1),"abcdefghijklmnopqrstuvwxyz ")))</formula1>
    </dataValidation>
    <dataValidation type="list" allowBlank="1" showInputMessage="1" showErrorMessage="1" promptTitle="Type of assessment" prompt="Select either one type of assessment (Single, Seperately, Combined) which to determine whether you will be filling  as a single person, or filling together or separately with your spouse. " sqref="C9" xr:uid="{58410E0E-EC91-4795-8D3C-0E3D8518EE7C}">
      <formula1>"Single Assessment, Separate Assessment, Combined Assessment"</formula1>
    </dataValidation>
    <dataValidation type="list" allowBlank="1" showInputMessage="1" showErrorMessage="1" errorTitle="Invalid Input" error="i) Only select either Single, Married, Widowed or Divorced." promptTitle="Marital Status" prompt="Select either one marital status in the list shown. " sqref="C8" xr:uid="{C6409E00-92DB-4DC3-95E9-ED5548CA5B75}">
      <formula1>"Single, Married, widowed, divorced"</formula1>
    </dataValidation>
    <dataValidation type="list" allowBlank="1" showInputMessage="1" showErrorMessage="1" errorTitle="Invalid Input" error="i) Input must be FEMALE or MALE" promptTitle="Gender" prompt="Select whether is female or male." sqref="C6" xr:uid="{10F2DBF3-7EA1-4187-BD9D-330B131E5CD8}">
      <formula1>"Male, Female"</formula1>
    </dataValidation>
    <dataValidation type="custom" allowBlank="1" showInputMessage="1" showErrorMessage="1" errorTitle="Error" error="Input MUST BE ONLY INTEGER. " promptTitle="Bank Account" prompt="Enter bank account and it MUST BE ACCURATE if you want to get tax refund. " sqref="C20" xr:uid="{0FB4EFA4-C115-4530-B3F4-BF83C27D3320}">
      <formula1>ISNUMBER(C20+0)</formula1>
    </dataValidation>
  </dataValidations>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5128" r:id="rId4" name="resetbtn">
          <controlPr defaultSize="0" autoLine="0" r:id="rId5">
            <anchor moveWithCells="1">
              <from>
                <xdr:col>1</xdr:col>
                <xdr:colOff>57150</xdr:colOff>
                <xdr:row>20</xdr:row>
                <xdr:rowOff>47625</xdr:rowOff>
              </from>
              <to>
                <xdr:col>1</xdr:col>
                <xdr:colOff>1990725</xdr:colOff>
                <xdr:row>20</xdr:row>
                <xdr:rowOff>390525</xdr:rowOff>
              </to>
            </anchor>
          </controlPr>
        </control>
      </mc:Choice>
      <mc:Fallback>
        <control shapeId="5128" r:id="rId4" name="resetbtn"/>
      </mc:Fallback>
    </mc:AlternateContent>
    <mc:AlternateContent xmlns:mc="http://schemas.openxmlformats.org/markup-compatibility/2006">
      <mc:Choice Requires="x14">
        <control shapeId="5127" r:id="rId6" name="next1btn">
          <controlPr defaultSize="0" autoLine="0" r:id="rId7">
            <anchor moveWithCells="1">
              <from>
                <xdr:col>2</xdr:col>
                <xdr:colOff>104775</xdr:colOff>
                <xdr:row>20</xdr:row>
                <xdr:rowOff>57150</xdr:rowOff>
              </from>
              <to>
                <xdr:col>2</xdr:col>
                <xdr:colOff>2571750</xdr:colOff>
                <xdr:row>20</xdr:row>
                <xdr:rowOff>381000</xdr:rowOff>
              </to>
            </anchor>
          </controlPr>
        </control>
      </mc:Choice>
      <mc:Fallback>
        <control shapeId="5127" r:id="rId6" name="next1btn"/>
      </mc:Fallback>
    </mc:AlternateContent>
    <mc:AlternateContent xmlns:mc="http://schemas.openxmlformats.org/markup-compatibility/2006">
      <mc:Choice Requires="x14">
        <control shapeId="5122" r:id="rId8" name="DTPicker1">
          <controlPr defaultSize="0" autoLine="0" autoPict="0" r:id="rId9">
            <anchor moveWithCells="1">
              <from>
                <xdr:col>2</xdr:col>
                <xdr:colOff>38100</xdr:colOff>
                <xdr:row>6</xdr:row>
                <xdr:rowOff>38100</xdr:rowOff>
              </from>
              <to>
                <xdr:col>2</xdr:col>
                <xdr:colOff>1962150</xdr:colOff>
                <xdr:row>6</xdr:row>
                <xdr:rowOff>438150</xdr:rowOff>
              </to>
            </anchor>
          </controlPr>
        </control>
      </mc:Choice>
      <mc:Fallback>
        <control shapeId="5122" r:id="rId8" name="DTPicker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BC33B-A337-4C57-8DB7-A882CEDB7EF5}">
  <sheetPr codeName="Sheet4"/>
  <dimension ref="A1:J17"/>
  <sheetViews>
    <sheetView zoomScale="55" zoomScaleNormal="55" workbookViewId="0">
      <selection activeCell="B2" sqref="B2"/>
    </sheetView>
  </sheetViews>
  <sheetFormatPr defaultRowHeight="21" x14ac:dyDescent="0.35"/>
  <cols>
    <col min="1" max="1" width="75.42578125" style="109" bestFit="1" customWidth="1"/>
    <col min="2" max="2" width="33.85546875" style="109" customWidth="1"/>
    <col min="3" max="3" width="31.28515625" style="109" customWidth="1"/>
    <col min="4" max="16384" width="9.140625" style="109"/>
  </cols>
  <sheetData>
    <row r="1" spans="1:10" ht="37.5" customHeight="1" x14ac:dyDescent="0.35">
      <c r="A1" s="127" t="s">
        <v>10</v>
      </c>
      <c r="B1" s="126"/>
      <c r="C1" s="126"/>
      <c r="E1" s="107"/>
      <c r="F1" s="108"/>
      <c r="G1" s="108"/>
      <c r="H1" s="108"/>
      <c r="I1" s="108"/>
      <c r="J1" s="108"/>
    </row>
    <row r="2" spans="1:10" x14ac:dyDescent="0.35">
      <c r="A2" s="113" t="s">
        <v>11</v>
      </c>
      <c r="B2" s="199">
        <v>45000</v>
      </c>
      <c r="C2" s="110">
        <f>B2</f>
        <v>45000</v>
      </c>
      <c r="D2" s="107"/>
      <c r="E2" s="107"/>
      <c r="F2" s="108"/>
      <c r="G2" s="108"/>
      <c r="H2" s="108"/>
      <c r="I2" s="108"/>
      <c r="J2" s="108"/>
    </row>
    <row r="3" spans="1:10" x14ac:dyDescent="0.35">
      <c r="A3" s="113"/>
      <c r="B3" s="120"/>
      <c r="C3" s="117"/>
      <c r="D3" s="107"/>
      <c r="E3" s="107"/>
      <c r="F3" s="108"/>
      <c r="G3" s="108"/>
      <c r="H3" s="108"/>
      <c r="I3" s="108"/>
      <c r="J3" s="108"/>
    </row>
    <row r="4" spans="1:10" x14ac:dyDescent="0.35">
      <c r="A4" s="113" t="s">
        <v>12</v>
      </c>
      <c r="B4" s="199"/>
      <c r="C4" s="111">
        <f>B4</f>
        <v>0</v>
      </c>
      <c r="D4" s="107"/>
      <c r="E4" s="107"/>
      <c r="F4" s="108"/>
      <c r="G4" s="108"/>
      <c r="H4" s="108"/>
      <c r="I4" s="108"/>
      <c r="J4" s="108"/>
    </row>
    <row r="5" spans="1:10" x14ac:dyDescent="0.35">
      <c r="A5" s="113"/>
      <c r="B5" s="120"/>
      <c r="C5" s="118"/>
      <c r="D5" s="107"/>
      <c r="E5" s="107"/>
      <c r="F5" s="108"/>
      <c r="G5" s="108"/>
      <c r="H5" s="108"/>
      <c r="I5" s="108"/>
      <c r="J5" s="108"/>
    </row>
    <row r="6" spans="1:10" ht="65.25" customHeight="1" x14ac:dyDescent="0.35">
      <c r="A6" s="114" t="s">
        <v>13</v>
      </c>
      <c r="B6" s="199"/>
      <c r="C6" s="111">
        <f>B6</f>
        <v>0</v>
      </c>
      <c r="D6" s="107"/>
      <c r="E6" s="107"/>
      <c r="F6" s="108"/>
      <c r="G6" s="108"/>
      <c r="H6" s="108"/>
      <c r="I6" s="108"/>
      <c r="J6" s="108"/>
    </row>
    <row r="7" spans="1:10" x14ac:dyDescent="0.35">
      <c r="A7" s="115"/>
      <c r="B7" s="120"/>
      <c r="C7" s="119"/>
      <c r="D7" s="107"/>
      <c r="E7" s="107"/>
      <c r="F7" s="108"/>
      <c r="G7" s="108"/>
      <c r="H7" s="108"/>
      <c r="I7" s="108"/>
      <c r="J7" s="108"/>
    </row>
    <row r="8" spans="1:10" x14ac:dyDescent="0.35">
      <c r="A8" s="131" t="s">
        <v>14</v>
      </c>
      <c r="B8" s="132"/>
      <c r="C8" s="133">
        <f>SUM(C2:C6)</f>
        <v>45000</v>
      </c>
      <c r="D8" s="107"/>
      <c r="E8" s="107"/>
      <c r="F8" s="108"/>
      <c r="G8" s="108"/>
      <c r="H8" s="108"/>
      <c r="I8" s="108"/>
      <c r="J8" s="108"/>
    </row>
    <row r="9" spans="1:10" x14ac:dyDescent="0.35">
      <c r="A9" s="116"/>
      <c r="B9" s="121"/>
      <c r="C9" s="122"/>
      <c r="D9" s="107"/>
      <c r="E9" s="107"/>
      <c r="F9" s="108"/>
      <c r="G9" s="108"/>
      <c r="H9" s="108"/>
      <c r="I9" s="108"/>
      <c r="J9" s="108"/>
    </row>
    <row r="10" spans="1:10" x14ac:dyDescent="0.35">
      <c r="A10" s="113" t="s">
        <v>15</v>
      </c>
      <c r="B10" s="199"/>
      <c r="C10" s="111">
        <f>B10</f>
        <v>0</v>
      </c>
      <c r="D10" s="107"/>
      <c r="E10" s="107"/>
      <c r="F10" s="108"/>
      <c r="G10" s="108"/>
      <c r="H10" s="108"/>
      <c r="I10" s="108"/>
      <c r="J10" s="108"/>
    </row>
    <row r="11" spans="1:10" x14ac:dyDescent="0.35">
      <c r="A11" s="113"/>
      <c r="B11" s="121"/>
      <c r="C11" s="119"/>
      <c r="D11" s="107"/>
      <c r="E11" s="107"/>
      <c r="F11" s="108"/>
      <c r="G11" s="108"/>
      <c r="H11" s="108"/>
      <c r="I11" s="108"/>
      <c r="J11" s="108"/>
    </row>
    <row r="12" spans="1:10" x14ac:dyDescent="0.35">
      <c r="A12" s="131" t="s">
        <v>16</v>
      </c>
      <c r="B12" s="132"/>
      <c r="C12" s="136">
        <f>C8+C10</f>
        <v>45000</v>
      </c>
      <c r="E12" s="107"/>
      <c r="F12" s="108"/>
      <c r="G12" s="108"/>
      <c r="H12" s="108"/>
      <c r="I12" s="108"/>
      <c r="J12" s="108"/>
    </row>
    <row r="13" spans="1:10" x14ac:dyDescent="0.35">
      <c r="A13" s="116"/>
      <c r="B13" s="121"/>
      <c r="C13" s="123"/>
      <c r="D13" s="107"/>
      <c r="E13" s="107"/>
      <c r="F13" s="108"/>
      <c r="G13" s="108"/>
      <c r="H13" s="108"/>
      <c r="I13" s="108"/>
      <c r="J13" s="108"/>
    </row>
    <row r="14" spans="1:10" x14ac:dyDescent="0.35">
      <c r="A14" s="113" t="s">
        <v>17</v>
      </c>
      <c r="B14" s="200"/>
      <c r="C14" s="112">
        <f>B14</f>
        <v>0</v>
      </c>
      <c r="D14" s="108"/>
      <c r="E14" s="108"/>
      <c r="F14" s="108"/>
      <c r="G14" s="108"/>
      <c r="H14" s="108"/>
      <c r="I14" s="108"/>
      <c r="J14" s="108"/>
    </row>
    <row r="15" spans="1:10" ht="21.75" thickBot="1" x14ac:dyDescent="0.4">
      <c r="A15" s="113"/>
      <c r="B15" s="125"/>
      <c r="C15" s="124"/>
      <c r="D15" s="108"/>
      <c r="E15" s="108"/>
      <c r="F15" s="108"/>
      <c r="G15" s="108"/>
      <c r="H15" s="108"/>
      <c r="I15" s="108"/>
      <c r="J15" s="108"/>
    </row>
    <row r="16" spans="1:10" ht="36" customHeight="1" x14ac:dyDescent="0.35">
      <c r="A16" s="131" t="s">
        <v>18</v>
      </c>
      <c r="B16" s="134"/>
      <c r="C16" s="135">
        <f>C12-C14</f>
        <v>45000</v>
      </c>
      <c r="D16" s="108"/>
      <c r="E16" s="108"/>
      <c r="F16" s="108"/>
      <c r="G16" s="108"/>
      <c r="H16" s="108"/>
      <c r="I16" s="108"/>
      <c r="J16" s="108"/>
    </row>
    <row r="17" spans="3:3" ht="41.25" customHeight="1" x14ac:dyDescent="0.35">
      <c r="C17" s="16"/>
    </row>
  </sheetData>
  <sheetProtection sheet="1" objects="1" scenarios="1" selectLockedCells="1"/>
  <dataValidations count="4">
    <dataValidation type="custom" allowBlank="1" showInputMessage="1" showErrorMessage="1" sqref="B3" xr:uid="{75707EDC-4AE4-4FE1-AD46-80D9F09359D0}">
      <formula1>ISNUMBER(B3)</formula1>
    </dataValidation>
    <dataValidation type="custom" allowBlank="1" showInputMessage="1" showErrorMessage="1" errorTitle="Error" error="Input amount MUST BE NUMBER" sqref="B14" xr:uid="{A3DCCA9D-7F74-42FF-917B-C3B0B4BE26C4}">
      <formula1>ISNUMBER(B14)</formula1>
    </dataValidation>
    <dataValidation type="custom" allowBlank="1" showInputMessage="1" showErrorMessage="1" errorTitle="Error" error="Input amount MUST BE NUMBER." sqref="B10 B4 B6" xr:uid="{646C6436-DAA3-41CA-B007-23CDC34F15A2}">
      <formula1>ISNUMBER(B4)</formula1>
    </dataValidation>
    <dataValidation type="custom" allowBlank="1" showInputMessage="1" showErrorMessage="1" errorTitle="Error" error="Input amount MUST BE NUMBER." prompt="Minimum required yearly income to pay for income tax is RM 34001" sqref="B2" xr:uid="{82EF95FD-52EB-471E-B1D0-0CC9EA28D976}">
      <formula1>ISNUMBER(B2)</formula1>
    </dataValidation>
  </dataValidations>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6148" r:id="rId4" name="cancel2btn">
          <controlPr defaultSize="0" autoLine="0" r:id="rId5">
            <anchor moveWithCells="1">
              <from>
                <xdr:col>3</xdr:col>
                <xdr:colOff>57150</xdr:colOff>
                <xdr:row>16</xdr:row>
                <xdr:rowOff>123825</xdr:rowOff>
              </from>
              <to>
                <xdr:col>5</xdr:col>
                <xdr:colOff>600075</xdr:colOff>
                <xdr:row>16</xdr:row>
                <xdr:rowOff>457200</xdr:rowOff>
              </to>
            </anchor>
          </controlPr>
        </control>
      </mc:Choice>
      <mc:Fallback>
        <control shapeId="6148" r:id="rId4" name="cancel2btn"/>
      </mc:Fallback>
    </mc:AlternateContent>
    <mc:AlternateContent xmlns:mc="http://schemas.openxmlformats.org/markup-compatibility/2006">
      <mc:Choice Requires="x14">
        <control shapeId="6147" r:id="rId6" name="backl2btn">
          <controlPr defaultSize="0" autoLine="0" r:id="rId7">
            <anchor moveWithCells="1">
              <from>
                <xdr:col>1</xdr:col>
                <xdr:colOff>104775</xdr:colOff>
                <xdr:row>16</xdr:row>
                <xdr:rowOff>152400</xdr:rowOff>
              </from>
              <to>
                <xdr:col>1</xdr:col>
                <xdr:colOff>1876425</xdr:colOff>
                <xdr:row>16</xdr:row>
                <xdr:rowOff>476250</xdr:rowOff>
              </to>
            </anchor>
          </controlPr>
        </control>
      </mc:Choice>
      <mc:Fallback>
        <control shapeId="6147" r:id="rId6" name="backl2btn"/>
      </mc:Fallback>
    </mc:AlternateContent>
    <mc:AlternateContent xmlns:mc="http://schemas.openxmlformats.org/markup-compatibility/2006">
      <mc:Choice Requires="x14">
        <control shapeId="6146" r:id="rId8" name="next2btn">
          <controlPr defaultSize="0" autoLine="0" autoPict="0" r:id="rId9">
            <anchor moveWithCells="1">
              <from>
                <xdr:col>2</xdr:col>
                <xdr:colOff>19050</xdr:colOff>
                <xdr:row>16</xdr:row>
                <xdr:rowOff>123825</xdr:rowOff>
              </from>
              <to>
                <xdr:col>2</xdr:col>
                <xdr:colOff>2028825</xdr:colOff>
                <xdr:row>16</xdr:row>
                <xdr:rowOff>466725</xdr:rowOff>
              </to>
            </anchor>
          </controlPr>
        </control>
      </mc:Choice>
      <mc:Fallback>
        <control shapeId="6146" r:id="rId8" name="next2bt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37107-75F8-411B-8586-755287B16E19}">
  <sheetPr codeName="Sheet3"/>
  <dimension ref="A1:K104"/>
  <sheetViews>
    <sheetView topLeftCell="A85" zoomScale="60" zoomScaleNormal="60" zoomScaleSheetLayoutView="50" workbookViewId="0">
      <selection activeCell="D104" sqref="D104"/>
    </sheetView>
  </sheetViews>
  <sheetFormatPr defaultRowHeight="20.25" x14ac:dyDescent="0.3"/>
  <cols>
    <col min="1" max="1" width="4.5703125" style="34" customWidth="1"/>
    <col min="2" max="2" width="147.5703125" style="14" customWidth="1"/>
    <col min="3" max="3" width="33.5703125" style="13" customWidth="1"/>
    <col min="4" max="4" width="32.5703125" style="13" customWidth="1"/>
    <col min="5" max="5" width="30.42578125" style="14" customWidth="1"/>
    <col min="6" max="10" width="9.140625" style="14"/>
    <col min="11" max="11" width="12.85546875" style="14" customWidth="1"/>
    <col min="12" max="16384" width="9.140625" style="14"/>
  </cols>
  <sheetData>
    <row r="1" spans="1:11" ht="39.75" customHeight="1" x14ac:dyDescent="0.3">
      <c r="A1" s="191" t="s">
        <v>74</v>
      </c>
      <c r="B1" s="191"/>
      <c r="C1" s="43"/>
      <c r="D1" s="43"/>
    </row>
    <row r="2" spans="1:11" s="16" customFormat="1" ht="21" customHeight="1" x14ac:dyDescent="0.3">
      <c r="A2" s="15"/>
      <c r="B2" s="15"/>
      <c r="C2" s="4"/>
      <c r="D2" s="4"/>
    </row>
    <row r="3" spans="1:11" x14ac:dyDescent="0.3">
      <c r="A3" s="17">
        <v>1</v>
      </c>
      <c r="B3" s="18" t="s">
        <v>119</v>
      </c>
      <c r="C3" s="19" t="s">
        <v>63</v>
      </c>
      <c r="D3" s="7" t="s">
        <v>73</v>
      </c>
    </row>
    <row r="4" spans="1:11" ht="27.75" customHeight="1" x14ac:dyDescent="0.3">
      <c r="A4" s="20" t="s">
        <v>57</v>
      </c>
      <c r="B4" s="21" t="s">
        <v>19</v>
      </c>
      <c r="C4" s="9"/>
      <c r="D4" s="6">
        <v>9000</v>
      </c>
    </row>
    <row r="5" spans="1:11" x14ac:dyDescent="0.3">
      <c r="A5" s="20"/>
      <c r="B5" s="21"/>
      <c r="C5" s="9"/>
      <c r="D5" s="6"/>
    </row>
    <row r="6" spans="1:11" s="16" customFormat="1" ht="24.75" customHeight="1" x14ac:dyDescent="0.3">
      <c r="A6" s="22" t="s">
        <v>58</v>
      </c>
      <c r="B6" s="23" t="s">
        <v>38</v>
      </c>
      <c r="C6" s="201">
        <v>0</v>
      </c>
      <c r="D6" s="8">
        <f>C6</f>
        <v>0</v>
      </c>
    </row>
    <row r="7" spans="1:11" s="16" customFormat="1" x14ac:dyDescent="0.3">
      <c r="A7" s="22"/>
      <c r="B7" s="21" t="s">
        <v>39</v>
      </c>
      <c r="C7" s="9"/>
      <c r="D7" s="6"/>
    </row>
    <row r="8" spans="1:11" s="16" customFormat="1" x14ac:dyDescent="0.3">
      <c r="A8" s="22"/>
      <c r="B8" s="21"/>
      <c r="C8" s="24"/>
      <c r="D8" s="25"/>
    </row>
    <row r="9" spans="1:11" s="16" customFormat="1" x14ac:dyDescent="0.3">
      <c r="A9" s="22"/>
      <c r="B9" s="26" t="s">
        <v>36</v>
      </c>
      <c r="C9" s="24"/>
      <c r="D9" s="25"/>
    </row>
    <row r="10" spans="1:11" s="16" customFormat="1" x14ac:dyDescent="0.3">
      <c r="A10" s="22"/>
      <c r="B10" s="26"/>
      <c r="C10" s="24"/>
      <c r="D10" s="25"/>
    </row>
    <row r="11" spans="1:11" s="16" customFormat="1" ht="38.25" customHeight="1" x14ac:dyDescent="0.3">
      <c r="A11" s="22"/>
      <c r="B11" s="106" t="s">
        <v>37</v>
      </c>
      <c r="C11" s="202" t="s">
        <v>117</v>
      </c>
      <c r="D11" s="6"/>
    </row>
    <row r="12" spans="1:11" s="16" customFormat="1" ht="35.25" customHeight="1" x14ac:dyDescent="0.3">
      <c r="A12" s="22"/>
      <c r="B12" s="27" t="s">
        <v>64</v>
      </c>
      <c r="C12" s="168">
        <v>1</v>
      </c>
      <c r="D12" s="8">
        <f>IF(OR(D6&gt;0,C12=0),0,IF(C11="Both Parent",3000/C12,IF(C11="One Parent",1500/C12,0)))</f>
        <v>3000</v>
      </c>
    </row>
    <row r="13" spans="1:11" s="16" customFormat="1" ht="30.75" customHeight="1" x14ac:dyDescent="0.3">
      <c r="A13" s="22"/>
      <c r="B13" s="28"/>
      <c r="C13" s="29"/>
      <c r="D13" s="30"/>
    </row>
    <row r="14" spans="1:11" s="16" customFormat="1" ht="30.75" customHeight="1" x14ac:dyDescent="0.3">
      <c r="A14" s="20" t="s">
        <v>59</v>
      </c>
      <c r="B14" s="23" t="s">
        <v>31</v>
      </c>
      <c r="C14" s="203"/>
      <c r="D14" s="8">
        <f>C14</f>
        <v>0</v>
      </c>
    </row>
    <row r="15" spans="1:11" s="16" customFormat="1" ht="30.75" customHeight="1" x14ac:dyDescent="0.3">
      <c r="A15" s="31"/>
      <c r="B15" s="32"/>
      <c r="C15" s="92"/>
      <c r="D15" s="49"/>
    </row>
    <row r="16" spans="1:11" ht="31.5" customHeight="1" x14ac:dyDescent="0.3">
      <c r="A16" s="17"/>
      <c r="B16" s="137" t="s">
        <v>80</v>
      </c>
      <c r="C16" s="138"/>
      <c r="D16" s="139">
        <f>SUM(D4+D6+D12+D14)</f>
        <v>12000</v>
      </c>
      <c r="E16" s="16"/>
      <c r="F16" s="16"/>
      <c r="G16" s="16"/>
      <c r="J16" s="33"/>
      <c r="K16" s="33"/>
    </row>
    <row r="17" spans="1:11" x14ac:dyDescent="0.3">
      <c r="J17" s="33"/>
      <c r="K17" s="33"/>
    </row>
    <row r="19" spans="1:11" x14ac:dyDescent="0.3">
      <c r="A19" s="35">
        <v>2</v>
      </c>
      <c r="B19" s="18" t="s">
        <v>49</v>
      </c>
      <c r="C19" s="19"/>
      <c r="D19" s="7"/>
    </row>
    <row r="20" spans="1:11" ht="27.75" customHeight="1" x14ac:dyDescent="0.3">
      <c r="A20" s="36" t="s">
        <v>57</v>
      </c>
      <c r="B20" s="21" t="s">
        <v>81</v>
      </c>
      <c r="C20" s="201">
        <v>6000</v>
      </c>
      <c r="D20" s="8">
        <f>C20</f>
        <v>6000</v>
      </c>
    </row>
    <row r="21" spans="1:11" ht="66.75" customHeight="1" x14ac:dyDescent="0.3">
      <c r="A21" s="36"/>
      <c r="B21" s="37" t="s">
        <v>46</v>
      </c>
      <c r="C21" s="38"/>
      <c r="D21" s="6"/>
    </row>
    <row r="22" spans="1:11" ht="30.75" customHeight="1" x14ac:dyDescent="0.3">
      <c r="A22" s="36"/>
      <c r="B22" s="37" t="s">
        <v>47</v>
      </c>
      <c r="C22" s="38"/>
      <c r="D22" s="6"/>
    </row>
    <row r="23" spans="1:11" s="16" customFormat="1" x14ac:dyDescent="0.3">
      <c r="A23" s="39"/>
      <c r="B23" s="40"/>
      <c r="C23" s="41"/>
      <c r="D23" s="12"/>
    </row>
    <row r="25" spans="1:11" x14ac:dyDescent="0.3">
      <c r="A25" s="35">
        <v>3</v>
      </c>
      <c r="B25" s="18" t="s">
        <v>50</v>
      </c>
      <c r="C25" s="42"/>
      <c r="D25" s="43"/>
    </row>
    <row r="26" spans="1:11" x14ac:dyDescent="0.3">
      <c r="A26" s="36" t="s">
        <v>57</v>
      </c>
      <c r="B26" s="21" t="s">
        <v>22</v>
      </c>
      <c r="C26" s="204">
        <v>2000</v>
      </c>
      <c r="D26" s="44">
        <f>C26</f>
        <v>2000</v>
      </c>
    </row>
    <row r="27" spans="1:11" x14ac:dyDescent="0.3">
      <c r="A27" s="36"/>
      <c r="B27" s="21"/>
      <c r="C27" s="45"/>
      <c r="D27" s="46"/>
    </row>
    <row r="28" spans="1:11" x14ac:dyDescent="0.3">
      <c r="A28" s="36" t="s">
        <v>58</v>
      </c>
      <c r="B28" s="21" t="s">
        <v>23</v>
      </c>
      <c r="C28" s="204">
        <v>0</v>
      </c>
      <c r="D28" s="44">
        <f>C28</f>
        <v>0</v>
      </c>
    </row>
    <row r="29" spans="1:11" x14ac:dyDescent="0.3">
      <c r="A29" s="36"/>
      <c r="B29" s="21"/>
      <c r="C29" s="45"/>
      <c r="D29" s="46"/>
    </row>
    <row r="30" spans="1:11" x14ac:dyDescent="0.3">
      <c r="A30" s="36" t="s">
        <v>59</v>
      </c>
      <c r="B30" s="21" t="s">
        <v>24</v>
      </c>
      <c r="C30" s="204">
        <v>0</v>
      </c>
      <c r="D30" s="44">
        <f>C30</f>
        <v>0</v>
      </c>
    </row>
    <row r="31" spans="1:11" x14ac:dyDescent="0.3">
      <c r="A31" s="31"/>
      <c r="B31" s="47"/>
      <c r="C31" s="48"/>
      <c r="D31" s="49"/>
    </row>
    <row r="32" spans="1:11" ht="35.25" customHeight="1" x14ac:dyDescent="0.3">
      <c r="A32" s="17"/>
      <c r="B32" s="18" t="s">
        <v>82</v>
      </c>
      <c r="C32" s="140"/>
      <c r="D32" s="7">
        <f>SUM(C26,C28,C30)</f>
        <v>2000</v>
      </c>
      <c r="E32" s="13"/>
    </row>
    <row r="33" spans="1:5" s="16" customFormat="1" x14ac:dyDescent="0.3">
      <c r="A33" s="50"/>
      <c r="B33" s="51"/>
      <c r="C33" s="52"/>
      <c r="D33" s="12"/>
      <c r="E33" s="4"/>
    </row>
    <row r="35" spans="1:5" x14ac:dyDescent="0.3">
      <c r="A35" s="35">
        <v>4</v>
      </c>
      <c r="B35" s="18" t="s">
        <v>41</v>
      </c>
      <c r="C35" s="19"/>
      <c r="D35" s="53"/>
    </row>
    <row r="36" spans="1:5" ht="32.25" customHeight="1" x14ac:dyDescent="0.3">
      <c r="A36" s="36" t="s">
        <v>57</v>
      </c>
      <c r="B36" s="21" t="s">
        <v>40</v>
      </c>
      <c r="C36" s="201">
        <v>2500</v>
      </c>
      <c r="D36" s="44">
        <f>C36</f>
        <v>2500</v>
      </c>
    </row>
    <row r="37" spans="1:5" ht="99" customHeight="1" x14ac:dyDescent="0.3">
      <c r="A37" s="36"/>
      <c r="B37" s="37" t="s">
        <v>65</v>
      </c>
      <c r="C37" s="38"/>
      <c r="D37" s="54"/>
    </row>
    <row r="38" spans="1:5" ht="70.5" customHeight="1" x14ac:dyDescent="0.3">
      <c r="A38" s="36"/>
      <c r="B38" s="55" t="s">
        <v>66</v>
      </c>
      <c r="C38" s="56"/>
      <c r="D38" s="57"/>
    </row>
    <row r="39" spans="1:5" ht="36" customHeight="1" x14ac:dyDescent="0.3">
      <c r="A39" s="36"/>
      <c r="B39" s="55" t="s">
        <v>67</v>
      </c>
      <c r="C39" s="56"/>
      <c r="D39" s="57"/>
    </row>
    <row r="40" spans="1:5" x14ac:dyDescent="0.3">
      <c r="A40" s="36"/>
      <c r="B40" s="21"/>
      <c r="C40" s="9"/>
      <c r="D40" s="46"/>
    </row>
    <row r="41" spans="1:5" ht="26.25" customHeight="1" x14ac:dyDescent="0.3">
      <c r="A41" s="36" t="s">
        <v>58</v>
      </c>
      <c r="B41" s="21" t="s">
        <v>83</v>
      </c>
      <c r="C41" s="9"/>
      <c r="D41" s="46"/>
    </row>
    <row r="42" spans="1:5" ht="74.25" customHeight="1" x14ac:dyDescent="0.3">
      <c r="A42" s="36"/>
      <c r="B42" s="58" t="s">
        <v>84</v>
      </c>
      <c r="C42" s="201">
        <v>2500</v>
      </c>
      <c r="D42" s="44">
        <f>C42</f>
        <v>2500</v>
      </c>
    </row>
    <row r="43" spans="1:5" x14ac:dyDescent="0.3">
      <c r="A43" s="36"/>
      <c r="B43" s="21"/>
      <c r="C43" s="9"/>
      <c r="D43" s="46"/>
    </row>
    <row r="44" spans="1:5" ht="40.5" x14ac:dyDescent="0.3">
      <c r="A44" s="59" t="s">
        <v>59</v>
      </c>
      <c r="B44" s="60" t="s">
        <v>35</v>
      </c>
      <c r="C44" s="205">
        <v>1000</v>
      </c>
      <c r="D44" s="61">
        <f>C44</f>
        <v>1000</v>
      </c>
    </row>
    <row r="45" spans="1:5" x14ac:dyDescent="0.3">
      <c r="A45" s="62"/>
      <c r="B45" s="63"/>
      <c r="C45" s="64"/>
      <c r="D45" s="65"/>
    </row>
    <row r="46" spans="1:5" ht="35.25" customHeight="1" x14ac:dyDescent="0.3">
      <c r="A46" s="141"/>
      <c r="B46" s="142" t="s">
        <v>82</v>
      </c>
      <c r="C46" s="143"/>
      <c r="D46" s="144">
        <f>SUM(D36,D42,D44)</f>
        <v>6000</v>
      </c>
    </row>
    <row r="47" spans="1:5" s="16" customFormat="1" x14ac:dyDescent="0.3">
      <c r="A47" s="66"/>
      <c r="B47" s="67"/>
      <c r="C47" s="68"/>
      <c r="D47" s="68"/>
    </row>
    <row r="49" spans="1:4" x14ac:dyDescent="0.3">
      <c r="A49" s="35">
        <v>5</v>
      </c>
      <c r="B49" s="18" t="s">
        <v>51</v>
      </c>
      <c r="C49" s="19"/>
      <c r="D49" s="53"/>
    </row>
    <row r="50" spans="1:4" ht="44.25" customHeight="1" x14ac:dyDescent="0.3">
      <c r="A50" s="36" t="s">
        <v>57</v>
      </c>
      <c r="B50" s="69" t="s">
        <v>42</v>
      </c>
      <c r="C50" s="206"/>
      <c r="D50" s="70">
        <f>C50</f>
        <v>0</v>
      </c>
    </row>
    <row r="51" spans="1:4" x14ac:dyDescent="0.3">
      <c r="A51" s="36"/>
      <c r="B51" s="58" t="s">
        <v>56</v>
      </c>
      <c r="C51" s="71"/>
      <c r="D51" s="72"/>
    </row>
    <row r="52" spans="1:4" x14ac:dyDescent="0.3">
      <c r="A52" s="36"/>
      <c r="B52" s="21"/>
      <c r="C52" s="9"/>
      <c r="D52" s="46"/>
    </row>
    <row r="53" spans="1:4" ht="40.5" customHeight="1" x14ac:dyDescent="0.3">
      <c r="A53" s="36" t="s">
        <v>58</v>
      </c>
      <c r="B53" s="73" t="s">
        <v>30</v>
      </c>
      <c r="C53" s="207"/>
      <c r="D53" s="74">
        <f>C53</f>
        <v>0</v>
      </c>
    </row>
    <row r="54" spans="1:4" x14ac:dyDescent="0.3">
      <c r="A54" s="36"/>
      <c r="B54" s="21"/>
      <c r="C54" s="9"/>
      <c r="D54" s="46"/>
    </row>
    <row r="55" spans="1:4" x14ac:dyDescent="0.3">
      <c r="A55" s="36" t="s">
        <v>59</v>
      </c>
      <c r="B55" s="28" t="s">
        <v>54</v>
      </c>
      <c r="C55" s="208">
        <v>0</v>
      </c>
      <c r="D55" s="75">
        <f>C55</f>
        <v>0</v>
      </c>
    </row>
    <row r="56" spans="1:4" x14ac:dyDescent="0.3">
      <c r="A56" s="36"/>
      <c r="B56" s="28" t="s">
        <v>55</v>
      </c>
      <c r="C56" s="76"/>
      <c r="D56" s="77"/>
    </row>
    <row r="57" spans="1:4" ht="23.25" customHeight="1" x14ac:dyDescent="0.3">
      <c r="A57" s="36"/>
      <c r="B57" s="21"/>
      <c r="C57" s="9"/>
      <c r="D57" s="46"/>
    </row>
    <row r="58" spans="1:4" x14ac:dyDescent="0.3">
      <c r="A58" s="36" t="s">
        <v>60</v>
      </c>
      <c r="B58" s="23" t="s">
        <v>85</v>
      </c>
      <c r="C58" s="209"/>
      <c r="D58" s="78">
        <f>C58*2000</f>
        <v>0</v>
      </c>
    </row>
    <row r="59" spans="1:4" ht="25.5" customHeight="1" x14ac:dyDescent="0.3">
      <c r="A59" s="36"/>
      <c r="B59" s="21"/>
      <c r="C59" s="9"/>
      <c r="D59" s="46"/>
    </row>
    <row r="60" spans="1:4" ht="37.5" customHeight="1" x14ac:dyDescent="0.3">
      <c r="A60" s="59" t="s">
        <v>61</v>
      </c>
      <c r="B60" s="69" t="s">
        <v>114</v>
      </c>
      <c r="C60" s="210"/>
      <c r="D60" s="70">
        <f>C60*2000</f>
        <v>0</v>
      </c>
    </row>
    <row r="61" spans="1:4" x14ac:dyDescent="0.3">
      <c r="A61" s="36"/>
      <c r="B61" s="69"/>
      <c r="C61" s="79"/>
      <c r="D61" s="80"/>
    </row>
    <row r="62" spans="1:4" ht="36.75" customHeight="1" x14ac:dyDescent="0.3">
      <c r="A62" s="36" t="s">
        <v>62</v>
      </c>
      <c r="B62" s="23" t="s">
        <v>115</v>
      </c>
      <c r="C62" s="209"/>
      <c r="D62" s="78">
        <f>C62*8000</f>
        <v>0</v>
      </c>
    </row>
    <row r="63" spans="1:4" ht="48.75" customHeight="1" x14ac:dyDescent="0.3">
      <c r="A63" s="36"/>
      <c r="B63" s="55" t="s">
        <v>43</v>
      </c>
      <c r="C63" s="56"/>
      <c r="D63" s="57"/>
    </row>
    <row r="64" spans="1:4" ht="48.75" customHeight="1" x14ac:dyDescent="0.3">
      <c r="A64" s="36"/>
      <c r="B64" s="37" t="s">
        <v>44</v>
      </c>
      <c r="C64" s="38"/>
      <c r="D64" s="54"/>
    </row>
    <row r="65" spans="1:5" ht="54" customHeight="1" x14ac:dyDescent="0.3">
      <c r="A65" s="36"/>
      <c r="B65" s="37" t="s">
        <v>45</v>
      </c>
      <c r="C65" s="38"/>
      <c r="D65" s="54"/>
    </row>
    <row r="66" spans="1:5" ht="39" customHeight="1" x14ac:dyDescent="0.3">
      <c r="A66" s="31"/>
      <c r="B66" s="81"/>
      <c r="C66" s="82"/>
      <c r="D66" s="83"/>
    </row>
    <row r="67" spans="1:5" ht="34.5" customHeight="1" x14ac:dyDescent="0.3">
      <c r="A67" s="35"/>
      <c r="B67" s="86" t="s">
        <v>80</v>
      </c>
      <c r="C67" s="145"/>
      <c r="D67" s="146">
        <f>SUM(D50,D53,D55,D58,D60,D62)</f>
        <v>0</v>
      </c>
    </row>
    <row r="68" spans="1:5" s="16" customFormat="1" ht="40.5" customHeight="1" x14ac:dyDescent="0.3">
      <c r="A68" s="39"/>
      <c r="B68" s="84"/>
      <c r="C68" s="41"/>
      <c r="D68" s="85"/>
    </row>
    <row r="70" spans="1:5" x14ac:dyDescent="0.3">
      <c r="A70" s="35">
        <v>6</v>
      </c>
      <c r="B70" s="86" t="s">
        <v>52</v>
      </c>
      <c r="C70" s="87"/>
      <c r="D70" s="88"/>
    </row>
    <row r="71" spans="1:5" ht="27.75" customHeight="1" x14ac:dyDescent="0.3">
      <c r="A71" s="36" t="s">
        <v>57</v>
      </c>
      <c r="B71" s="23" t="s">
        <v>75</v>
      </c>
      <c r="C71" s="89"/>
      <c r="D71" s="90"/>
    </row>
    <row r="72" spans="1:5" ht="28.5" customHeight="1" x14ac:dyDescent="0.3">
      <c r="A72" s="36"/>
      <c r="B72" s="26" t="s">
        <v>71</v>
      </c>
      <c r="C72" s="79"/>
      <c r="D72" s="80"/>
    </row>
    <row r="73" spans="1:5" ht="30.75" customHeight="1" x14ac:dyDescent="0.3">
      <c r="A73" s="36"/>
      <c r="B73" s="26" t="s">
        <v>72</v>
      </c>
      <c r="C73" s="206"/>
      <c r="D73" s="190">
        <f>SUM(C73,C75,C77)</f>
        <v>7000</v>
      </c>
      <c r="E73" s="91"/>
    </row>
    <row r="74" spans="1:5" ht="32.25" customHeight="1" x14ac:dyDescent="0.3">
      <c r="A74" s="36"/>
      <c r="B74" s="69" t="s">
        <v>68</v>
      </c>
      <c r="C74" s="79"/>
      <c r="D74" s="190"/>
    </row>
    <row r="75" spans="1:5" ht="32.25" customHeight="1" x14ac:dyDescent="0.3">
      <c r="A75" s="36"/>
      <c r="B75" s="26" t="s">
        <v>69</v>
      </c>
      <c r="C75" s="206">
        <v>3000</v>
      </c>
      <c r="D75" s="190"/>
    </row>
    <row r="76" spans="1:5" x14ac:dyDescent="0.3">
      <c r="A76" s="36"/>
      <c r="B76" s="26"/>
      <c r="C76" s="79"/>
      <c r="D76" s="190"/>
    </row>
    <row r="77" spans="1:5" ht="29.25" customHeight="1" x14ac:dyDescent="0.3">
      <c r="A77" s="36"/>
      <c r="B77" s="26" t="s">
        <v>70</v>
      </c>
      <c r="C77" s="206">
        <v>4000</v>
      </c>
      <c r="D77" s="190"/>
    </row>
    <row r="78" spans="1:5" x14ac:dyDescent="0.3">
      <c r="A78" s="36"/>
      <c r="B78" s="26"/>
      <c r="C78" s="79"/>
      <c r="D78" s="80"/>
    </row>
    <row r="79" spans="1:5" x14ac:dyDescent="0.3">
      <c r="A79" s="36"/>
      <c r="B79" s="69"/>
      <c r="C79" s="79"/>
      <c r="D79" s="80"/>
    </row>
    <row r="80" spans="1:5" x14ac:dyDescent="0.3">
      <c r="A80" s="36" t="s">
        <v>58</v>
      </c>
      <c r="B80" s="23" t="s">
        <v>33</v>
      </c>
      <c r="C80" s="203">
        <v>3000</v>
      </c>
      <c r="D80" s="78">
        <f>C80</f>
        <v>3000</v>
      </c>
    </row>
    <row r="81" spans="1:4" x14ac:dyDescent="0.3">
      <c r="A81" s="36"/>
      <c r="B81" s="23"/>
      <c r="C81" s="89"/>
      <c r="D81" s="90"/>
    </row>
    <row r="82" spans="1:4" x14ac:dyDescent="0.3">
      <c r="A82" s="36" t="s">
        <v>59</v>
      </c>
      <c r="B82" s="23" t="s">
        <v>76</v>
      </c>
      <c r="C82" s="203"/>
      <c r="D82" s="78">
        <f>C82</f>
        <v>0</v>
      </c>
    </row>
    <row r="83" spans="1:4" x14ac:dyDescent="0.3">
      <c r="A83" s="36"/>
      <c r="B83" s="23"/>
      <c r="C83" s="89"/>
      <c r="D83" s="90"/>
    </row>
    <row r="84" spans="1:4" x14ac:dyDescent="0.3">
      <c r="A84" s="36" t="s">
        <v>60</v>
      </c>
      <c r="B84" s="23" t="s">
        <v>34</v>
      </c>
      <c r="C84" s="203">
        <v>250</v>
      </c>
      <c r="D84" s="78">
        <f>C84</f>
        <v>250</v>
      </c>
    </row>
    <row r="85" spans="1:4" x14ac:dyDescent="0.3">
      <c r="A85" s="31"/>
      <c r="B85" s="32"/>
      <c r="C85" s="92"/>
      <c r="D85" s="93"/>
    </row>
    <row r="86" spans="1:4" ht="35.25" customHeight="1" x14ac:dyDescent="0.3">
      <c r="A86" s="35"/>
      <c r="B86" s="147" t="s">
        <v>80</v>
      </c>
      <c r="C86" s="148"/>
      <c r="D86" s="149">
        <f>SUM(D73,D80,D82,D84)</f>
        <v>10250</v>
      </c>
    </row>
    <row r="87" spans="1:4" s="16" customFormat="1" x14ac:dyDescent="0.3">
      <c r="A87" s="39"/>
      <c r="B87" s="94"/>
      <c r="C87" s="95"/>
      <c r="D87" s="96"/>
    </row>
    <row r="88" spans="1:4" x14ac:dyDescent="0.3">
      <c r="B88" s="16"/>
      <c r="C88" s="4"/>
    </row>
    <row r="89" spans="1:4" x14ac:dyDescent="0.3">
      <c r="A89" s="35">
        <v>7</v>
      </c>
      <c r="B89" s="18" t="s">
        <v>53</v>
      </c>
      <c r="C89" s="19"/>
      <c r="D89" s="53"/>
    </row>
    <row r="90" spans="1:4" x14ac:dyDescent="0.3">
      <c r="A90" s="36" t="s">
        <v>57</v>
      </c>
      <c r="B90" s="21" t="s">
        <v>20</v>
      </c>
      <c r="C90" s="201"/>
      <c r="D90" s="44">
        <f>C90</f>
        <v>0</v>
      </c>
    </row>
    <row r="91" spans="1:4" x14ac:dyDescent="0.3">
      <c r="A91" s="36"/>
      <c r="B91" s="21"/>
      <c r="C91" s="9"/>
      <c r="D91" s="46"/>
    </row>
    <row r="92" spans="1:4" x14ac:dyDescent="0.3">
      <c r="A92" s="36" t="s">
        <v>58</v>
      </c>
      <c r="B92" s="21" t="s">
        <v>21</v>
      </c>
      <c r="C92" s="201" t="s">
        <v>77</v>
      </c>
      <c r="D92" s="44">
        <f>IF(C92="Yes", 6000, 0)</f>
        <v>0</v>
      </c>
    </row>
    <row r="93" spans="1:4" x14ac:dyDescent="0.3">
      <c r="A93" s="36"/>
      <c r="B93" s="21"/>
      <c r="C93" s="9"/>
      <c r="D93" s="46"/>
    </row>
    <row r="94" spans="1:4" x14ac:dyDescent="0.3">
      <c r="A94" s="36" t="s">
        <v>59</v>
      </c>
      <c r="B94" s="23" t="s">
        <v>32</v>
      </c>
      <c r="C94" s="203" t="s">
        <v>77</v>
      </c>
      <c r="D94" s="78">
        <f>IF(C94="Yes", 3500,0)</f>
        <v>0</v>
      </c>
    </row>
    <row r="95" spans="1:4" x14ac:dyDescent="0.3">
      <c r="A95" s="36"/>
      <c r="B95" s="23"/>
      <c r="C95" s="89"/>
      <c r="D95" s="90"/>
    </row>
    <row r="96" spans="1:4" x14ac:dyDescent="0.3">
      <c r="A96" s="36" t="s">
        <v>60</v>
      </c>
      <c r="B96" s="23" t="s">
        <v>116</v>
      </c>
      <c r="C96" s="10" t="s">
        <v>118</v>
      </c>
      <c r="D96" s="78">
        <f>6000*C96</f>
        <v>0</v>
      </c>
    </row>
    <row r="97" spans="1:4" x14ac:dyDescent="0.3">
      <c r="A97" s="36"/>
      <c r="B97" s="23"/>
      <c r="C97" s="89"/>
      <c r="D97" s="90"/>
    </row>
    <row r="98" spans="1:4" ht="60.75" x14ac:dyDescent="0.3">
      <c r="A98" s="59" t="s">
        <v>61</v>
      </c>
      <c r="B98" s="97" t="s">
        <v>48</v>
      </c>
      <c r="C98" s="11"/>
      <c r="D98" s="98">
        <f>C98*8000</f>
        <v>0</v>
      </c>
    </row>
    <row r="99" spans="1:4" x14ac:dyDescent="0.3">
      <c r="A99" s="62"/>
      <c r="B99" s="99"/>
      <c r="C99" s="100"/>
      <c r="D99" s="101"/>
    </row>
    <row r="100" spans="1:4" ht="35.25" customHeight="1" x14ac:dyDescent="0.3">
      <c r="A100" s="150"/>
      <c r="B100" s="151" t="s">
        <v>80</v>
      </c>
      <c r="C100" s="152"/>
      <c r="D100" s="153">
        <f>SUM(D90,D92,D94,D96,D98)</f>
        <v>0</v>
      </c>
    </row>
    <row r="101" spans="1:4" s="16" customFormat="1" x14ac:dyDescent="0.3">
      <c r="A101" s="102"/>
      <c r="B101" s="103"/>
      <c r="C101" s="104"/>
      <c r="D101" s="105"/>
    </row>
    <row r="103" spans="1:4" ht="41.25" customHeight="1" x14ac:dyDescent="0.3">
      <c r="A103" s="35"/>
      <c r="B103" s="154" t="s">
        <v>86</v>
      </c>
      <c r="C103" s="43"/>
      <c r="D103" s="43">
        <f>SUM(D16,D20,D32,D46,D67,D86,D100)</f>
        <v>36250</v>
      </c>
    </row>
    <row r="104" spans="1:4" ht="47.25" customHeight="1" x14ac:dyDescent="0.3">
      <c r="D104" s="189"/>
    </row>
  </sheetData>
  <sheetProtection sheet="1" objects="1" scenarios="1" selectLockedCells="1"/>
  <mergeCells count="2">
    <mergeCell ref="D73:D77"/>
    <mergeCell ref="A1:B1"/>
  </mergeCells>
  <dataValidations xWindow="641" yWindow="432" count="36">
    <dataValidation type="list" allowBlank="1" showInputMessage="1" showErrorMessage="1" errorTitle="Error" error="Please select based on the list  given." promptTitle="Parental Carer Living Fees" prompt="The tax relief for this selection is maximum RM 3000 for both _x000a_parent or RM 1500 for either parent (One mother or One father)._x000a_* Select No if you not going to claim this.  " sqref="C11" xr:uid="{47534208-667C-40F9-A951-650EB6C68226}">
      <formula1>"No,Both Parent, One Parent"</formula1>
    </dataValidation>
    <dataValidation type="decimal" allowBlank="1" showInputMessage="1" showErrorMessage="1" errorTitle="Invalid Input" error="Please only input numerical value and must not exceed RM 4000. " promptTitle="Payment for husband / wife" prompt="Payment for husband / wife / payment of alimony to former wife are restricted at not more than RM 4000. " sqref="C14:C15" xr:uid="{346071EF-7D0C-45A2-A34F-CB44906B12D7}">
      <formula1>0</formula1>
      <formula2>4000</formula2>
    </dataValidation>
    <dataValidation type="decimal" allowBlank="1" showInputMessage="1" showErrorMessage="1" errorTitle="Invalid Input" error="Please only input NUMERICAL VALUE and MUST NOT MORE THAN RM 7000_x000a_" promptTitle="Education Fee For Self" prompt="Claimed value up to RM 7000" sqref="C20" xr:uid="{391FF979-2036-4C10-ABF2-83EBAD034378}">
      <formula1>0</formula1>
      <formula2>7000</formula2>
    </dataValidation>
    <dataValidation allowBlank="1" showInputMessage="1" showErrorMessage="1" errorTitle="Total medical cost exceeds" error="The  total medical already exceed the restriction amount (RM 6000)" promptTitle="Total Medical Cost" prompt="Total medical cost are restricted up to RM 6000." sqref="D32:D33" xr:uid="{2AE6BD42-86A4-4771-A9EC-72033E4DBE5E}"/>
    <dataValidation type="custom" allowBlank="1" showInputMessage="1" showErrorMessage="1" errorTitle="Error" error="i. Input MUST BE NUMERICAL _x000a__x000a_ii. Amount MUST NOT MORE THAN RM 6000_x000a__x000a_iii. Total Cost MUST NOT EXCEED RM 6000_x000a_" promptTitle="Medical Cost for serious disease" prompt="Enter medical cost for serious diseases._x000a_Total medical cost not more than RM 6000." sqref="C26" xr:uid="{352BE7C5-D674-41DA-9954-FD3A38989F29}">
      <formula1>AND(SUM(C26,C28,C30)&lt;= 6000, C26&lt;=6000)</formula1>
    </dataValidation>
    <dataValidation type="decimal" allowBlank="1" showInputMessage="1" showErrorMessage="1" errorTitle="Invalid Input" error="i) Input MUST BE NUMERICAL_x000a__x000a_ii) Input MUST NOT BE MORE THAN RM 2500_x000a_" promptTitle="Lifestyle A" prompt="Enter the claim amount that used to purchase on books , sport equipment, computer, smartphone, tablet, internet monthly bil that is under your own name._x000a_The restricted amount max is RM 2500." sqref="C36" xr:uid="{7FA05720-F242-4CC9-9F8C-036D7BDB3607}">
      <formula1>0</formula1>
      <formula2>2500</formula2>
    </dataValidation>
    <dataValidation type="decimal" allowBlank="1" showInputMessage="1" showErrorMessage="1" errorTitle="Error" error="i) Input MUST BE NUMERICAL_x000a__x000a_ii) Input MUST NOT BE MORE THAN RM 2500_x000a_" promptTitle="Lifestlye B" prompt="Additional deduction for purchase made within the period 1st June 2020 tp 1st December 2020._x000a_Restricted up to RM 2500. " sqref="C42" xr:uid="{4D7F4D7A-6DCE-4A25-AAFF-16B7623E84BD}">
      <formula1>0</formula1>
      <formula2>2500</formula2>
    </dataValidation>
    <dataValidation type="decimal" allowBlank="1" showInputMessage="1" showErrorMessage="1" errorTitle="Invalid Input" error="i) Input MUST BE NUMERICAL_x000a__x000a_or_x000a__x000a_ii) Input MUST NOT BE MORE THAN RM 1000_x000a_" prompt="Tax relief is restricted up to RM 1000._x000a_" sqref="C45:C47" xr:uid="{56813799-F323-4E7F-8CD7-C4EF86467A96}">
      <formula1>0</formula1>
      <formula2>1000</formula2>
    </dataValidation>
    <dataValidation type="decimal" allowBlank="1" showInputMessage="1" showErrorMessage="1" errorTitle="Invalid Input" error="i) Input MUST BE NUMERICAL_x000a__x000a_or_x000a__x000a_ii) Input MUST NOT BE MORE THAN RM 1000_x000a_" prompt="Purchase of breastfeeding equipment and deduction restricted up to RM 1000" sqref="D50" xr:uid="{5363E3D2-31F0-4EAC-A0F5-FC93D8B5B49F}">
      <formula1>0</formula1>
      <formula2>1000</formula2>
    </dataValidation>
    <dataValidation type="decimal" allowBlank="1" showInputMessage="1" showErrorMessage="1" errorTitle="Error" error="i) Input MUST BE NUMERICAL_x000a__x000a_ii) Cost should NOT MORE THAN RM 3000" promptTitle="Child care fees" prompt="For purchase on child care and kindergarten fees._x000a_This tax relief deduction is restricted up to RM 3000" sqref="C53" xr:uid="{30170FEF-0D85-459F-B5CE-EE7D6BD380F0}">
      <formula1>0</formula1>
      <formula2>3000</formula2>
    </dataValidation>
    <dataValidation type="decimal" allowBlank="1" showInputMessage="1" showErrorMessage="1" errorTitle="Error" error="i) Input MUST BE NUMERICAL_x000a__x000a_ii) Input MUST NOT MORE THAN RM 8000" promptTitle="Total SSPN Savings" prompt="Maximum total sspn is RM 8000" sqref="C55" xr:uid="{8E0DCC57-1090-499B-B2CC-2BCD79DE7511}">
      <formula1>0</formula1>
      <formula2>8000</formula2>
    </dataValidation>
    <dataValidation type="whole" allowBlank="1" showInputMessage="1" showErrorMessage="1" errorTitle="Error" error="Input MUST BE NUMERICAL" promptTitle="Number of children age below 18" prompt="Enter the number of unmarried children below the age of 18._x000a_Tax relief for each children is RM 2000. " sqref="C58" xr:uid="{9CA8A9DB-2A66-4D9D-96AC-F2D8F5FD4A5C}">
      <formula1>0</formula1>
      <formula2>20</formula2>
    </dataValidation>
    <dataValidation type="whole" allowBlank="1" showInputMessage="1" showErrorMessage="1" errorTitle="Error" error="Input MUST BE NUMERICAL" promptTitle="Number of child(18+)" prompt="Enter the number of unmarried children (18+) who pursing the full time high education._x000a_Tax relief for each children is RM 2000. " sqref="C60" xr:uid="{81BB7051-591C-4541-9AED-07E1127E7189}">
      <formula1>0</formula1>
      <formula2>20</formula2>
    </dataValidation>
    <dataValidation type="whole" allowBlank="1" showInputMessage="1" showErrorMessage="1" errorTitle="Error" error="Input MUST BE NUMERICAL" promptTitle="Number of children (18+)" prompt="Enter number of unmarried children (18+) in tertiary education _x000a_Tax relief for each children is RM 8000. " sqref="C62" xr:uid="{40718517-D95E-4AE8-8E9E-9CBF8E5B0274}">
      <formula1>0</formula1>
      <formula2>20</formula2>
    </dataValidation>
    <dataValidation allowBlank="1" showInputMessage="1" showErrorMessage="1" promptTitle="Total Life insurance tax relief" prompt="Total amount of life  insurance and EPF. The total amount restricted up to RM 7000." sqref="D72 D78" xr:uid="{23FBD8F0-19DD-4E9F-A90C-F3A6B0F68ED8}"/>
    <dataValidation type="custom" allowBlank="1" showInputMessage="1" showErrorMessage="1" errorTitle="Invalid Input" error="i) Input MUST BE NUMBER_x000a__x000a_AND_x000a__x000a_ii) Input MUST NOT MORE THAN RM 7000_x000a__x000a_AND _x000a__x000a_iii) Total insurance MUST NOT MORE THAN 7000_x000a__x000a_" promptTitle="Life insurance premium" prompt="Life  insurance in pensionable public servan category and amount relief is restricted up to RM 7000." sqref="C72" xr:uid="{677FEA3C-2793-4D2F-A8EF-C76BCED21BE1}">
      <formula1>AND(C72&lt;= 7000, (C75+C72+C77) &lt;= 7000)</formula1>
    </dataValidation>
    <dataValidation type="custom" allowBlank="1" showInputMessage="1" showErrorMessage="1" errorTitle="Error" error="i) Input MUST BE NUMBER_x000a__x000a_ii) Input MUST NOT MORE THAN RM 4000_x000a__x000a_iii) Total insurance MUST NOT MORE THAN 7000_x000a__x000a_" promptTitle="EPF" prompt="Tax relief amount not more than RM 4000 " sqref="C77" xr:uid="{E545E502-AEA0-4E2B-902E-2D27222D77C3}">
      <formula1>AND(SUM(C73,C75,C77)&lt;=7000, C77&lt;=4000)</formula1>
    </dataValidation>
    <dataValidation type="decimal" allowBlank="1" showInputMessage="1" showErrorMessage="1" promptTitle="Total Life insurance tax relief" prompt="Total amount of life  insurance and EPF. The total amount restricted up to RM 7000." sqref="D73:D77" xr:uid="{C58C31CE-7608-483A-A978-4BF7C2C48BDA}">
      <formula1>0</formula1>
      <formula2>7000</formula2>
    </dataValidation>
    <dataValidation type="custom" allowBlank="1" showInputMessage="1" showErrorMessage="1" errorTitle="Error" error="i. Input MUST BE NUMERICAL _x000a__x000a_ii. Amount MUST NOT MORE THAN RM 6000_x000a__x000a_iii. Total Cost MUST NOT EXCEED RM 6000_x000a_" promptTitle="Cost For Fertility Treatment" prompt="Enter medical cost for fertility treatment._x000a_Total medical cost not more than RM 6000." sqref="C28" xr:uid="{6B717AB2-D30B-4AA8-A26E-9375303F3C59}">
      <formula1>AND(SUM(C26,C28,C30)&lt;= 6000, C28&lt;=6000)</formula1>
    </dataValidation>
    <dataValidation type="custom" allowBlank="1" showInputMessage="1" showErrorMessage="1" errorTitle="Error" error="i. Input MUST BE NUMERICAL _x000a__x000a_ii. Amount MUST NOT MORE THAN RM 600_x000a__x000a_iii. Total Cost MUST NOT EXCEED RM 6000_x000a_" promptTitle="Cost for medical examination" prompt="Enter cost spend for medical examination for self, spouse or child and the amount claimed is up to RM 5000._x000a_* Total medical cost must not more than RM 6000" sqref="C31" xr:uid="{99A8AD85-E1A2-49AE-8F3B-26F3095A9B4E}">
      <formula1>AND(SUM(C27,C29,C31)&lt;= 6000, C31&lt;=6000)</formula1>
    </dataValidation>
    <dataValidation type="custom" allowBlank="1" showInputMessage="1" showErrorMessage="1" errorTitle="Error" error="i) Amount MUST BE NUMERICAL_x000a_ii) Amount MUST NOT ORE THAN RM 7000" promptTitle="Life insurance (Public Servant)" prompt="Restricted up to RM 7000 for life insurance in PUBLIC SERVANT." sqref="C73" xr:uid="{F3536BB4-E9FB-46D8-B19D-DB95459FBE3F}">
      <formula1>AND(SUM(C73,C75,C77)&lt;=7000, C73&lt;=7000)</formula1>
    </dataValidation>
    <dataValidation type="custom" allowBlank="1" showInputMessage="1" showErrorMessage="1" errorTitle="Error" error="i) Amount MUST  BE NUMERICAL_x000a__x000a_ii) Amount MUST NOT EXCEED RM 3000_x000a__x000a_iii) Total life insurance claimed MUST NOT MORE THAN RM 7000" promptTitle="Life Insurance (Non-Public)" prompt="Up to RM 3000 for Life insurance in NON-PUBLIC SERVANT" sqref="C75" xr:uid="{66B3EDEF-FB4B-4D31-9A3C-E57D613141E8}">
      <formula1>AND(SUM(C73,C75,C77)&lt;=7000, C75&lt;=3000)</formula1>
    </dataValidation>
    <dataValidation type="decimal" allowBlank="1" showInputMessage="1" showErrorMessage="1" errorTitle="Error" error="i) Amount MUST BE NUMBER_x000a__x000a_ii) Amount MUST NOT EXCEED RM 3000" promptTitle="Insurance" prompt="Education and medical insuance up to RM 3000." sqref="C82" xr:uid="{1492E0AB-8106-4DB2-BC86-6D80A382F9C2}">
      <formula1>0</formula1>
      <formula2>3000</formula2>
    </dataValidation>
    <dataValidation type="decimal" allowBlank="1" showInputMessage="1" showErrorMessage="1" sqref="C85:C87" xr:uid="{1999FE37-FD6C-48AE-BF48-3CB68F0B6CBA}">
      <formula1>0</formula1>
      <formula2>250</formula2>
    </dataValidation>
    <dataValidation type="decimal" allowBlank="1" showInputMessage="1" showErrorMessage="1" errorTitle="Error" error="i) Input  MUST BE NUMBER_x000a__x000a_ii) Input MUST NOT MORE THAN RM 6000" promptTitle="Cost on disabled equipment" prompt="Enter amount used to purchase on basic supporting equipment for disabled self, spouse, child or parent. _x000a_Tax relief for this is restricted up to RM 6000." sqref="C90" xr:uid="{16C884D3-5A1C-4712-AF6B-6B5317127C89}">
      <formula1>0</formula1>
      <formula2>6000</formula2>
    </dataValidation>
    <dataValidation type="list" allowBlank="1" showInputMessage="1" showErrorMessage="1" errorTitle="Error" error="Please only select from the drop-down list given. " promptTitle="Disabled Individual" prompt="Select yes if you have any disabilities for tax relief of RM 6000." sqref="C92" xr:uid="{D4B43C0C-A460-40B9-9A33-51C9B1568C99}">
      <formula1>"Yes, No"</formula1>
    </dataValidation>
    <dataValidation type="list" allowBlank="1" showInputMessage="1" showErrorMessage="1" errorTitle="Error" error="Please only select from the list given in the drop-down list. " promptTitle="Spouse Disabled" prompt="Select Yes if your husband or wife is disabled individual for tax relief of RM 3500. " sqref="C94" xr:uid="{319BA5FF-5B2B-430B-8B83-C7495DF68093}">
      <formula1>"Yes, No"</formula1>
    </dataValidation>
    <dataValidation type="list" allowBlank="1" showInputMessage="1" showErrorMessage="1" errorTitle="Error" error="Please select from the list given in the drop-down list. " promptTitle="Disabled Child" prompt="Select number of children that have any disabilities and will have tax relief of RM6000 for each disabled children. _x000a_* Can ignore this part if no disabled children_x000a_" sqref="C96" xr:uid="{7389978E-6705-439B-A51A-0A0C5A8AF332}">
      <formula1>"'0,1,2,3,4,5,6,7,8,9,10,11,12"</formula1>
    </dataValidation>
    <dataValidation type="list" allowBlank="1" showInputMessage="1" showErrorMessage="1" promptTitle="Extra tax relief" prompt="Select number of disabled children(18+) in tertiary education. Each of them will have extra tax relief of RM 8000. _x000a_* Can ignore this part _x000a_" sqref="C98 C100:C101" xr:uid="{3D72273B-474F-4829-BC93-169610AA7B05}">
      <formula1>"'0,1,2,3,4,5,6,7,8,9,10,11,12"</formula1>
    </dataValidation>
    <dataValidation type="whole" allowBlank="1" showInputMessage="1" showErrorMessage="1" errorTitle="Error" error="Please only enter integer number _x000a_* If you are the only one who pay for this deduction, enter 1" promptTitle="Number of individual" prompt="Select number of individual who claim for this deduction. _x000a_The tax relief will be equally divied based on the number of individual. _x000a_* If only you to pay this claim, PLEASE ENTER 1." sqref="C12" xr:uid="{E27D015F-25C4-4FEB-ADE0-F12A6FB4CED2}">
      <formula1>1</formula1>
      <formula2>20</formula2>
    </dataValidation>
    <dataValidation type="decimal" allowBlank="1" showInputMessage="1" showErrorMessage="1" errorTitle="Error" error="i) Only allow to enter NUMBER_x000a__x000a_ii) Amount MUST NOT MORE THAN RM 5000" promptTitle="Parental Medical Expenses" prompt="Restricted up to RM 5000" sqref="C6" xr:uid="{CDA4FB8F-DA42-4C79-A79B-8395BDE0BFD3}">
      <formula1>0</formula1>
      <formula2>5000</formula2>
    </dataValidation>
    <dataValidation type="decimal" allowBlank="1" showInputMessage="1" showErrorMessage="1" errorTitle="Error" error="i) Input MUST BE NUMERICAL_x000a__x000a_ii) Input MUST NOT BE MORE THAN RM 1000_x000a_" promptTitle="Purchase breastfeeding equipment" prompt="For purchase of breastfeeding equipment and deduction restricted up to RM 1000" sqref="C50" xr:uid="{6CFCA3EA-2249-4EE6-853B-F4DABA5D54FC}">
      <formula1>0</formula1>
      <formula2>1000</formula2>
    </dataValidation>
    <dataValidation type="decimal" allowBlank="1" showInputMessage="1" showErrorMessage="1" errorTitle="Error" error="i) Input MUST BE NUMERICAL_x000a__x000a_ii) Input MUST NOT BE MORE THAN RM 1000_x000a_" prompt="Tax relief is restricted up to RM 1000._x000a_" sqref="C44" xr:uid="{629A3EA6-B88B-44EC-8D19-ED36771B3CF0}">
      <formula1>0</formula1>
      <formula2>1000</formula2>
    </dataValidation>
    <dataValidation type="decimal" allowBlank="1" showInputMessage="1" showErrorMessage="1" errorTitle="Error" error="i) Amount MUST BE NUMBER_x000a__x000a_ii) Amount MUST NOT EXCEED RM 3000" promptTitle="PRS" prompt="Up to RM 3000" sqref="C80" xr:uid="{057ABB19-293F-436E-996B-2E4C74CBE429}">
      <formula1>0</formula1>
      <formula2>3000</formula2>
    </dataValidation>
    <dataValidation type="decimal" allowBlank="1" showInputMessage="1" showErrorMessage="1" errorTitle="Error" error="i) Amount MUST BE NUMBER_x000a__x000a_ii) Amount MUST NOT EXCEED RM 250" promptTitle="SOCSO" prompt="Up to RM 250." sqref="C84" xr:uid="{8ABE6B3B-21F3-4AFE-99E1-06356141A966}">
      <formula1>0</formula1>
      <formula2>250</formula2>
    </dataValidation>
    <dataValidation type="custom" allowBlank="1" showInputMessage="1" showErrorMessage="1" errorTitle="Error" error="i. Input MUST BE NUMERICAL _x000a__x000a_ii. Amount MUST NOT MORE THAN RM 600_x000a__x000a_iii. Total Cost MUST NOT EXCEED RM 6000_x000a_" promptTitle="Cost for medical examination" prompt="Enter cost spend for medical examination for self, spouse or child and the amount claimed is up to RM 500._x000a_* Total medical cost must not more than RM 6000" sqref="C30" xr:uid="{2F1487F4-5C7F-49D7-B32B-D1846DC0B915}">
      <formula1>AND(SUM(C26,C28,C30)&lt;= 6000, C30&lt;=500)</formula1>
    </dataValidation>
  </dataValidations>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7174" r:id="rId4" name="reset3btn">
          <controlPr defaultSize="0" autoLine="0" r:id="rId5">
            <anchor moveWithCells="1">
              <from>
                <xdr:col>2</xdr:col>
                <xdr:colOff>247650</xdr:colOff>
                <xdr:row>103</xdr:row>
                <xdr:rowOff>190500</xdr:rowOff>
              </from>
              <to>
                <xdr:col>2</xdr:col>
                <xdr:colOff>2181225</xdr:colOff>
                <xdr:row>103</xdr:row>
                <xdr:rowOff>533400</xdr:rowOff>
              </to>
            </anchor>
          </controlPr>
        </control>
      </mc:Choice>
      <mc:Fallback>
        <control shapeId="7174" r:id="rId4" name="reset3btn"/>
      </mc:Fallback>
    </mc:AlternateContent>
    <mc:AlternateContent xmlns:mc="http://schemas.openxmlformats.org/markup-compatibility/2006">
      <mc:Choice Requires="x14">
        <control shapeId="7172" r:id="rId6" name="cancel3btn">
          <controlPr defaultSize="0" autoLine="0" r:id="rId7">
            <anchor moveWithCells="1">
              <from>
                <xdr:col>4</xdr:col>
                <xdr:colOff>85725</xdr:colOff>
                <xdr:row>103</xdr:row>
                <xdr:rowOff>171450</xdr:rowOff>
              </from>
              <to>
                <xdr:col>4</xdr:col>
                <xdr:colOff>1905000</xdr:colOff>
                <xdr:row>103</xdr:row>
                <xdr:rowOff>542925</xdr:rowOff>
              </to>
            </anchor>
          </controlPr>
        </control>
      </mc:Choice>
      <mc:Fallback>
        <control shapeId="7172" r:id="rId6" name="cancel3btn"/>
      </mc:Fallback>
    </mc:AlternateContent>
    <mc:AlternateContent xmlns:mc="http://schemas.openxmlformats.org/markup-compatibility/2006">
      <mc:Choice Requires="x14">
        <control shapeId="7171" r:id="rId8" name="back3btn">
          <controlPr defaultSize="0" autoLine="0" r:id="rId9">
            <anchor moveWithCells="1">
              <from>
                <xdr:col>1</xdr:col>
                <xdr:colOff>95250</xdr:colOff>
                <xdr:row>103</xdr:row>
                <xdr:rowOff>219075</xdr:rowOff>
              </from>
              <to>
                <xdr:col>1</xdr:col>
                <xdr:colOff>2095500</xdr:colOff>
                <xdr:row>103</xdr:row>
                <xdr:rowOff>542925</xdr:rowOff>
              </to>
            </anchor>
          </controlPr>
        </control>
      </mc:Choice>
      <mc:Fallback>
        <control shapeId="7171" r:id="rId8" name="back3btn"/>
      </mc:Fallback>
    </mc:AlternateContent>
    <mc:AlternateContent xmlns:mc="http://schemas.openxmlformats.org/markup-compatibility/2006">
      <mc:Choice Requires="x14">
        <control shapeId="7170" r:id="rId10" name="next3btn">
          <controlPr defaultSize="0" autoLine="0" r:id="rId11">
            <anchor moveWithCells="1">
              <from>
                <xdr:col>3</xdr:col>
                <xdr:colOff>123825</xdr:colOff>
                <xdr:row>103</xdr:row>
                <xdr:rowOff>190500</xdr:rowOff>
              </from>
              <to>
                <xdr:col>3</xdr:col>
                <xdr:colOff>2143125</xdr:colOff>
                <xdr:row>103</xdr:row>
                <xdr:rowOff>533400</xdr:rowOff>
              </to>
            </anchor>
          </controlPr>
        </control>
      </mc:Choice>
      <mc:Fallback>
        <control shapeId="7170" r:id="rId10" name="next3bt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EE8DF1-D416-4D40-862C-110107C01CD7}">
  <sheetPr codeName="Sheet1"/>
  <dimension ref="A1:AM94"/>
  <sheetViews>
    <sheetView zoomScale="90" zoomScaleNormal="90" zoomScaleSheetLayoutView="50" workbookViewId="0">
      <selection activeCell="D5" sqref="D5"/>
    </sheetView>
  </sheetViews>
  <sheetFormatPr defaultRowHeight="21" x14ac:dyDescent="0.35"/>
  <cols>
    <col min="1" max="1" width="34.42578125" style="5" bestFit="1" customWidth="1"/>
    <col min="2" max="2" width="9.140625" style="5" customWidth="1"/>
    <col min="3" max="3" width="15.140625" style="5" customWidth="1"/>
    <col min="4" max="4" width="28" style="5" customWidth="1"/>
    <col min="5" max="16384" width="9.140625" style="5"/>
  </cols>
  <sheetData>
    <row r="1" spans="1:39" x14ac:dyDescent="0.35">
      <c r="A1" s="169" t="s">
        <v>25</v>
      </c>
      <c r="B1" s="170"/>
      <c r="C1" s="171"/>
      <c r="D1" s="172"/>
      <c r="E1" s="109"/>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row>
    <row r="2" spans="1:39" x14ac:dyDescent="0.35">
      <c r="A2" s="173" t="s">
        <v>26</v>
      </c>
      <c r="B2" s="173"/>
      <c r="C2" s="174"/>
      <c r="D2" s="175">
        <f>'Statement Income'!C16</f>
        <v>45000</v>
      </c>
      <c r="E2" s="109"/>
      <c r="F2" s="109"/>
      <c r="G2" s="109"/>
      <c r="H2" s="109"/>
      <c r="I2" s="109"/>
      <c r="J2" s="109"/>
      <c r="K2" s="109"/>
      <c r="L2" s="109"/>
      <c r="M2" s="109"/>
      <c r="N2" s="109"/>
      <c r="O2" s="109"/>
      <c r="P2" s="109"/>
      <c r="Q2" s="109"/>
      <c r="R2" s="109"/>
      <c r="S2" s="109"/>
      <c r="T2" s="109"/>
      <c r="U2" s="109"/>
      <c r="V2" s="109"/>
      <c r="W2" s="109"/>
      <c r="X2" s="109"/>
      <c r="Y2" s="109"/>
      <c r="Z2" s="109"/>
      <c r="AA2" s="109"/>
      <c r="AB2" s="109"/>
      <c r="AC2" s="109"/>
      <c r="AD2" s="109"/>
      <c r="AE2" s="109"/>
      <c r="AF2" s="109"/>
      <c r="AG2" s="109"/>
      <c r="AH2" s="109"/>
      <c r="AI2" s="109"/>
      <c r="AJ2" s="109"/>
      <c r="AK2" s="109"/>
      <c r="AL2" s="109"/>
      <c r="AM2" s="109"/>
    </row>
    <row r="3" spans="1:39" x14ac:dyDescent="0.35">
      <c r="A3" s="176" t="s">
        <v>27</v>
      </c>
      <c r="B3" s="176"/>
      <c r="C3" s="177"/>
      <c r="D3" s="178">
        <f>TaxRelief!D103</f>
        <v>36250</v>
      </c>
      <c r="E3" s="109"/>
      <c r="F3" s="109"/>
      <c r="G3" s="109"/>
      <c r="H3" s="109"/>
      <c r="I3" s="109"/>
      <c r="J3" s="109"/>
      <c r="K3" s="109"/>
      <c r="L3" s="109"/>
      <c r="M3" s="109"/>
      <c r="N3" s="109"/>
      <c r="O3" s="109"/>
      <c r="P3" s="109"/>
      <c r="Q3" s="109"/>
      <c r="R3" s="109"/>
      <c r="S3" s="109"/>
      <c r="T3" s="109"/>
      <c r="U3" s="109"/>
      <c r="V3" s="109"/>
      <c r="W3" s="109"/>
      <c r="X3" s="109"/>
      <c r="Y3" s="109"/>
      <c r="Z3" s="109"/>
      <c r="AA3" s="109"/>
      <c r="AB3" s="109"/>
      <c r="AC3" s="109"/>
      <c r="AD3" s="109"/>
      <c r="AE3" s="109"/>
      <c r="AF3" s="109"/>
      <c r="AG3" s="109"/>
      <c r="AH3" s="109"/>
      <c r="AI3" s="109"/>
      <c r="AJ3" s="109"/>
      <c r="AK3" s="109"/>
      <c r="AL3" s="109"/>
      <c r="AM3" s="109"/>
    </row>
    <row r="4" spans="1:39" x14ac:dyDescent="0.35">
      <c r="A4" s="173"/>
      <c r="B4" s="173"/>
      <c r="C4" s="174"/>
      <c r="D4" s="179"/>
      <c r="E4" s="109"/>
      <c r="F4" s="109"/>
      <c r="G4" s="109"/>
      <c r="H4" s="109"/>
      <c r="I4" s="109"/>
      <c r="J4" s="109"/>
      <c r="K4" s="109"/>
      <c r="L4" s="109"/>
      <c r="M4" s="109"/>
      <c r="N4" s="109"/>
      <c r="O4" s="109"/>
      <c r="P4" s="109"/>
      <c r="Q4" s="109"/>
      <c r="R4" s="109"/>
      <c r="S4" s="109"/>
      <c r="T4" s="109"/>
      <c r="U4" s="109"/>
      <c r="V4" s="109"/>
      <c r="W4" s="109"/>
      <c r="X4" s="109"/>
      <c r="Y4" s="109"/>
      <c r="Z4" s="109"/>
      <c r="AA4" s="109"/>
      <c r="AB4" s="109"/>
      <c r="AC4" s="109"/>
      <c r="AD4" s="109"/>
      <c r="AE4" s="109"/>
      <c r="AF4" s="109"/>
      <c r="AG4" s="109"/>
      <c r="AH4" s="109"/>
      <c r="AI4" s="109"/>
      <c r="AJ4" s="109"/>
      <c r="AK4" s="109"/>
      <c r="AL4" s="109"/>
      <c r="AM4" s="109"/>
    </row>
    <row r="5" spans="1:39" ht="21.75" thickBot="1" x14ac:dyDescent="0.4">
      <c r="A5" s="180" t="s">
        <v>28</v>
      </c>
      <c r="B5" s="176"/>
      <c r="C5" s="181"/>
      <c r="D5" s="182">
        <f>IF((D2-D3)&lt;0,0,D2-D3)</f>
        <v>8750</v>
      </c>
      <c r="E5" s="109"/>
      <c r="F5" s="109"/>
      <c r="G5" s="109"/>
      <c r="H5" s="109"/>
      <c r="I5" s="109"/>
      <c r="J5" s="109"/>
      <c r="K5" s="109"/>
      <c r="L5" s="109"/>
      <c r="M5" s="109"/>
      <c r="N5" s="109"/>
      <c r="O5" s="109"/>
      <c r="P5" s="109"/>
      <c r="Q5" s="109"/>
      <c r="R5" s="109"/>
      <c r="S5" s="109"/>
      <c r="T5" s="109"/>
      <c r="U5" s="109"/>
      <c r="V5" s="109"/>
      <c r="W5" s="109"/>
      <c r="X5" s="109"/>
      <c r="Y5" s="109"/>
      <c r="Z5" s="109"/>
      <c r="AA5" s="109"/>
      <c r="AB5" s="109"/>
      <c r="AC5" s="109"/>
      <c r="AD5" s="109"/>
      <c r="AE5" s="109"/>
      <c r="AF5" s="109"/>
      <c r="AG5" s="109"/>
      <c r="AH5" s="109"/>
      <c r="AI5" s="109"/>
      <c r="AJ5" s="109"/>
      <c r="AK5" s="109"/>
      <c r="AL5" s="109"/>
      <c r="AM5" s="109"/>
    </row>
    <row r="6" spans="1:39" ht="21.75" thickTop="1" x14ac:dyDescent="0.35">
      <c r="A6" s="183"/>
      <c r="B6" s="184"/>
      <c r="C6" s="185"/>
      <c r="D6" s="186"/>
      <c r="E6" s="109"/>
      <c r="F6" s="109"/>
      <c r="G6" s="109"/>
      <c r="H6" s="109"/>
      <c r="I6" s="109"/>
      <c r="J6" s="109"/>
      <c r="K6" s="109"/>
      <c r="L6" s="109"/>
      <c r="M6" s="109"/>
      <c r="N6" s="109"/>
      <c r="O6" s="109"/>
      <c r="P6" s="109"/>
      <c r="Q6" s="109"/>
      <c r="R6" s="109"/>
      <c r="S6" s="109"/>
      <c r="T6" s="109"/>
      <c r="U6" s="109"/>
      <c r="V6" s="109"/>
      <c r="W6" s="109"/>
      <c r="X6" s="109"/>
      <c r="Y6" s="109"/>
      <c r="Z6" s="109"/>
      <c r="AA6" s="109"/>
      <c r="AB6" s="109"/>
      <c r="AC6" s="109"/>
      <c r="AD6" s="109"/>
      <c r="AE6" s="109"/>
      <c r="AF6" s="109"/>
      <c r="AG6" s="109"/>
      <c r="AH6" s="109"/>
      <c r="AI6" s="109"/>
      <c r="AJ6" s="109"/>
      <c r="AK6" s="109"/>
      <c r="AL6" s="109"/>
      <c r="AM6" s="109"/>
    </row>
    <row r="7" spans="1:39" ht="21.75" thickBot="1" x14ac:dyDescent="0.4">
      <c r="A7" s="180" t="s">
        <v>29</v>
      </c>
      <c r="B7" s="176"/>
      <c r="C7" s="177"/>
      <c r="D7" s="187" cm="1">
        <f t="array" ref="D7">taxRate(D5)</f>
        <v>37.5</v>
      </c>
      <c r="E7" s="109"/>
      <c r="F7" s="109"/>
      <c r="G7" s="109"/>
      <c r="H7" s="109"/>
      <c r="I7" s="109"/>
      <c r="J7" s="109"/>
      <c r="K7" s="109"/>
      <c r="L7" s="109"/>
      <c r="M7" s="109"/>
      <c r="N7" s="109"/>
      <c r="O7" s="109"/>
      <c r="P7" s="109"/>
      <c r="Q7" s="109"/>
      <c r="R7" s="109"/>
      <c r="S7" s="109"/>
      <c r="T7" s="109"/>
      <c r="U7" s="109"/>
      <c r="V7" s="109"/>
      <c r="W7" s="109"/>
      <c r="X7" s="109"/>
      <c r="Y7" s="109"/>
      <c r="Z7" s="109"/>
      <c r="AA7" s="109"/>
      <c r="AB7" s="109"/>
      <c r="AC7" s="109"/>
      <c r="AD7" s="109"/>
      <c r="AE7" s="109"/>
      <c r="AF7" s="109"/>
      <c r="AG7" s="109"/>
      <c r="AH7" s="109"/>
      <c r="AI7" s="109"/>
      <c r="AJ7" s="109"/>
      <c r="AK7" s="109"/>
      <c r="AL7" s="109"/>
      <c r="AM7" s="109"/>
    </row>
    <row r="8" spans="1:39" ht="36.75" customHeight="1" x14ac:dyDescent="0.35">
      <c r="A8" s="109"/>
      <c r="B8" s="109"/>
      <c r="C8" s="109"/>
      <c r="D8" s="109"/>
      <c r="E8" s="188" t="s">
        <v>106</v>
      </c>
      <c r="F8" s="109"/>
      <c r="G8" s="109"/>
      <c r="H8" s="109"/>
      <c r="I8" s="109"/>
      <c r="J8" s="109"/>
      <c r="K8" s="109"/>
      <c r="L8" s="109"/>
      <c r="M8" s="109"/>
      <c r="N8" s="109"/>
      <c r="O8" s="109"/>
      <c r="P8" s="109"/>
      <c r="Q8" s="109"/>
      <c r="R8" s="109"/>
      <c r="S8" s="109"/>
      <c r="T8" s="109"/>
      <c r="U8" s="109"/>
      <c r="V8" s="109"/>
      <c r="W8" s="109"/>
      <c r="X8" s="109"/>
      <c r="Y8" s="109"/>
      <c r="Z8" s="109"/>
      <c r="AA8" s="109"/>
      <c r="AB8" s="109"/>
      <c r="AC8" s="109"/>
      <c r="AD8" s="109"/>
      <c r="AE8" s="109"/>
      <c r="AF8" s="109"/>
      <c r="AG8" s="109"/>
      <c r="AH8" s="109"/>
      <c r="AI8" s="109"/>
      <c r="AJ8" s="109"/>
      <c r="AK8" s="109"/>
      <c r="AL8" s="109"/>
      <c r="AM8" s="109"/>
    </row>
    <row r="9" spans="1:39" ht="27" customHeight="1" x14ac:dyDescent="0.35">
      <c r="A9" s="109"/>
      <c r="B9" s="109"/>
      <c r="C9" s="109"/>
      <c r="D9" s="109"/>
      <c r="E9" s="109"/>
      <c r="F9" s="109"/>
      <c r="G9" s="109"/>
      <c r="H9" s="109"/>
      <c r="I9" s="109"/>
      <c r="J9" s="109"/>
      <c r="K9" s="109"/>
      <c r="L9" s="109"/>
      <c r="M9" s="109"/>
      <c r="N9" s="109"/>
      <c r="O9" s="109"/>
      <c r="P9" s="109"/>
      <c r="Q9" s="109"/>
      <c r="R9" s="109"/>
      <c r="S9" s="109"/>
      <c r="T9" s="109"/>
      <c r="U9" s="109"/>
      <c r="V9" s="109"/>
      <c r="W9" s="109"/>
      <c r="X9" s="109"/>
      <c r="Y9" s="109"/>
      <c r="Z9" s="109"/>
      <c r="AA9" s="109"/>
      <c r="AB9" s="109"/>
      <c r="AC9" s="109"/>
      <c r="AD9" s="109"/>
      <c r="AE9" s="109"/>
      <c r="AF9" s="109"/>
      <c r="AG9" s="109"/>
      <c r="AH9" s="109"/>
      <c r="AI9" s="109"/>
      <c r="AJ9" s="109"/>
      <c r="AK9" s="109"/>
      <c r="AL9" s="109"/>
      <c r="AM9" s="109"/>
    </row>
    <row r="10" spans="1:39" x14ac:dyDescent="0.35">
      <c r="A10" s="109"/>
      <c r="B10" s="109"/>
      <c r="C10" s="109"/>
      <c r="D10" s="109"/>
      <c r="E10" s="109"/>
      <c r="F10" s="109"/>
      <c r="G10" s="109"/>
      <c r="H10" s="109"/>
      <c r="I10" s="109"/>
      <c r="J10" s="109"/>
      <c r="K10" s="109"/>
      <c r="L10" s="109"/>
      <c r="M10" s="109"/>
      <c r="N10" s="109"/>
      <c r="O10" s="109"/>
      <c r="P10" s="109"/>
      <c r="Q10" s="109"/>
      <c r="R10" s="109"/>
      <c r="S10" s="109"/>
      <c r="T10" s="109"/>
      <c r="U10" s="109"/>
      <c r="V10" s="109"/>
      <c r="W10" s="109"/>
      <c r="X10" s="109"/>
      <c r="Y10" s="109"/>
      <c r="Z10" s="109"/>
      <c r="AA10" s="109"/>
      <c r="AB10" s="109"/>
      <c r="AC10" s="109"/>
      <c r="AD10" s="109"/>
      <c r="AE10" s="109"/>
      <c r="AF10" s="109"/>
      <c r="AG10" s="109"/>
      <c r="AH10" s="109"/>
      <c r="AI10" s="109"/>
      <c r="AJ10" s="109"/>
      <c r="AK10" s="109"/>
      <c r="AL10" s="109"/>
      <c r="AM10" s="109"/>
    </row>
    <row r="11" spans="1:39" x14ac:dyDescent="0.35">
      <c r="A11" s="109"/>
      <c r="B11" s="109"/>
      <c r="C11" s="109"/>
      <c r="D11" s="109"/>
      <c r="E11" s="109"/>
      <c r="F11" s="109"/>
      <c r="G11" s="109"/>
      <c r="H11" s="109"/>
      <c r="I11" s="109"/>
      <c r="J11" s="109"/>
      <c r="K11" s="109"/>
      <c r="L11" s="109"/>
      <c r="M11" s="109"/>
      <c r="N11" s="109"/>
      <c r="O11" s="109"/>
      <c r="P11" s="109"/>
      <c r="Q11" s="109"/>
      <c r="R11" s="109"/>
      <c r="S11" s="109"/>
      <c r="T11" s="109"/>
      <c r="U11" s="109"/>
      <c r="V11" s="109"/>
      <c r="W11" s="109"/>
      <c r="X11" s="109"/>
      <c r="Y11" s="109"/>
      <c r="Z11" s="109"/>
      <c r="AA11" s="109"/>
      <c r="AB11" s="109"/>
      <c r="AC11" s="109"/>
      <c r="AD11" s="109"/>
      <c r="AE11" s="109"/>
      <c r="AF11" s="109"/>
      <c r="AG11" s="109"/>
      <c r="AH11" s="109"/>
      <c r="AI11" s="109"/>
      <c r="AJ11" s="109"/>
      <c r="AK11" s="109"/>
      <c r="AL11" s="109"/>
      <c r="AM11" s="109"/>
    </row>
    <row r="12" spans="1:39" x14ac:dyDescent="0.35">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c r="AA12" s="109"/>
      <c r="AB12" s="109"/>
      <c r="AC12" s="109"/>
      <c r="AD12" s="109"/>
      <c r="AE12" s="109"/>
      <c r="AF12" s="109"/>
      <c r="AG12" s="109"/>
      <c r="AH12" s="109"/>
      <c r="AI12" s="109"/>
      <c r="AJ12" s="109"/>
      <c r="AK12" s="109"/>
      <c r="AL12" s="109"/>
      <c r="AM12" s="109"/>
    </row>
    <row r="13" spans="1:39" x14ac:dyDescent="0.35">
      <c r="A13" s="109"/>
      <c r="B13" s="109"/>
      <c r="C13" s="109"/>
      <c r="D13" s="109"/>
      <c r="E13" s="109"/>
      <c r="F13" s="109"/>
      <c r="G13" s="109"/>
      <c r="H13" s="109"/>
      <c r="I13" s="109"/>
      <c r="J13" s="109"/>
      <c r="K13" s="109"/>
      <c r="L13" s="109"/>
      <c r="M13" s="109"/>
      <c r="N13" s="109"/>
      <c r="O13" s="109"/>
      <c r="P13" s="109"/>
      <c r="Q13" s="109"/>
      <c r="R13" s="109"/>
      <c r="S13" s="109"/>
      <c r="T13" s="109"/>
      <c r="U13" s="109"/>
      <c r="V13" s="109"/>
      <c r="W13" s="109"/>
      <c r="X13" s="109"/>
      <c r="Y13" s="109"/>
      <c r="Z13" s="109"/>
      <c r="AA13" s="109"/>
      <c r="AB13" s="109"/>
      <c r="AC13" s="109"/>
      <c r="AD13" s="109"/>
      <c r="AE13" s="109"/>
      <c r="AF13" s="109"/>
      <c r="AG13" s="109"/>
      <c r="AH13" s="109"/>
      <c r="AI13" s="109"/>
      <c r="AJ13" s="109"/>
      <c r="AK13" s="109"/>
      <c r="AL13" s="109"/>
      <c r="AM13" s="109"/>
    </row>
    <row r="14" spans="1:39" x14ac:dyDescent="0.35">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c r="AA14" s="109"/>
      <c r="AB14" s="109"/>
      <c r="AC14" s="109"/>
      <c r="AD14" s="109"/>
      <c r="AE14" s="109"/>
      <c r="AF14" s="109"/>
      <c r="AG14" s="109"/>
      <c r="AH14" s="109"/>
      <c r="AI14" s="109"/>
      <c r="AJ14" s="109"/>
      <c r="AK14" s="109"/>
      <c r="AL14" s="109"/>
      <c r="AM14" s="109"/>
    </row>
    <row r="15" spans="1:39" x14ac:dyDescent="0.35">
      <c r="A15" s="109"/>
      <c r="B15" s="109"/>
      <c r="C15" s="109"/>
      <c r="D15" s="109"/>
      <c r="E15" s="109"/>
      <c r="F15" s="109"/>
      <c r="G15" s="109"/>
      <c r="H15" s="109"/>
      <c r="I15" s="109"/>
      <c r="J15" s="109"/>
      <c r="K15" s="109"/>
      <c r="L15" s="109"/>
      <c r="M15" s="109"/>
      <c r="N15" s="109"/>
      <c r="O15" s="109"/>
      <c r="P15" s="109"/>
      <c r="Q15" s="109"/>
      <c r="R15" s="109"/>
      <c r="S15" s="109"/>
      <c r="T15" s="109"/>
      <c r="U15" s="109"/>
      <c r="V15" s="109"/>
      <c r="W15" s="109"/>
      <c r="X15" s="109"/>
      <c r="Y15" s="109"/>
      <c r="Z15" s="109"/>
      <c r="AA15" s="109"/>
      <c r="AB15" s="109"/>
      <c r="AC15" s="109"/>
      <c r="AD15" s="109"/>
      <c r="AE15" s="109"/>
      <c r="AF15" s="109"/>
      <c r="AG15" s="109"/>
      <c r="AH15" s="109"/>
      <c r="AI15" s="109"/>
      <c r="AJ15" s="109"/>
      <c r="AK15" s="109"/>
      <c r="AL15" s="109"/>
      <c r="AM15" s="109"/>
    </row>
    <row r="16" spans="1:39" x14ac:dyDescent="0.35">
      <c r="A16" s="109"/>
      <c r="B16" s="109"/>
      <c r="C16" s="109"/>
      <c r="D16" s="109"/>
      <c r="E16" s="109"/>
      <c r="F16" s="109"/>
      <c r="G16" s="109"/>
      <c r="H16" s="109"/>
      <c r="I16" s="109"/>
      <c r="J16" s="109"/>
      <c r="K16" s="109"/>
      <c r="L16" s="109"/>
      <c r="M16" s="109"/>
      <c r="N16" s="109"/>
      <c r="O16" s="109"/>
      <c r="P16" s="109"/>
      <c r="Q16" s="109"/>
      <c r="R16" s="109"/>
      <c r="S16" s="109"/>
      <c r="T16" s="109"/>
      <c r="U16" s="109"/>
      <c r="V16" s="109"/>
      <c r="W16" s="109"/>
      <c r="X16" s="109"/>
      <c r="Y16" s="109"/>
      <c r="Z16" s="109"/>
      <c r="AA16" s="109"/>
      <c r="AB16" s="109"/>
      <c r="AC16" s="109"/>
      <c r="AD16" s="109"/>
      <c r="AE16" s="109"/>
      <c r="AF16" s="109"/>
      <c r="AG16" s="109"/>
      <c r="AH16" s="109"/>
      <c r="AI16" s="109"/>
      <c r="AJ16" s="109"/>
      <c r="AK16" s="109"/>
      <c r="AL16" s="109"/>
      <c r="AM16" s="109"/>
    </row>
    <row r="17" spans="1:39" x14ac:dyDescent="0.35">
      <c r="A17" s="109"/>
      <c r="B17" s="109"/>
      <c r="C17" s="109"/>
      <c r="D17" s="109"/>
      <c r="E17" s="109"/>
      <c r="F17" s="109"/>
      <c r="G17" s="109"/>
      <c r="H17" s="109"/>
      <c r="I17" s="109"/>
      <c r="J17" s="109"/>
      <c r="K17" s="109"/>
      <c r="L17" s="109"/>
      <c r="M17" s="109"/>
      <c r="N17" s="109"/>
      <c r="O17" s="109"/>
      <c r="P17" s="109"/>
      <c r="Q17" s="109"/>
      <c r="R17" s="109"/>
      <c r="S17" s="109"/>
      <c r="T17" s="109"/>
      <c r="U17" s="109"/>
      <c r="V17" s="109"/>
      <c r="W17" s="109"/>
      <c r="X17" s="109"/>
      <c r="Y17" s="109"/>
      <c r="Z17" s="109"/>
      <c r="AA17" s="109"/>
      <c r="AB17" s="109"/>
      <c r="AC17" s="109"/>
      <c r="AD17" s="109"/>
      <c r="AE17" s="109"/>
      <c r="AF17" s="109"/>
      <c r="AG17" s="109"/>
      <c r="AH17" s="109"/>
      <c r="AI17" s="109"/>
      <c r="AJ17" s="109"/>
      <c r="AK17" s="109"/>
      <c r="AL17" s="109"/>
      <c r="AM17" s="109"/>
    </row>
    <row r="18" spans="1:39" x14ac:dyDescent="0.35">
      <c r="A18" s="109"/>
      <c r="B18" s="109"/>
      <c r="C18" s="109"/>
      <c r="D18" s="109"/>
      <c r="E18" s="109"/>
      <c r="F18" s="109"/>
      <c r="G18" s="109"/>
      <c r="H18" s="109"/>
      <c r="I18" s="109"/>
      <c r="J18" s="109"/>
      <c r="K18" s="109"/>
      <c r="L18" s="109"/>
      <c r="M18" s="109"/>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row>
    <row r="19" spans="1:39" x14ac:dyDescent="0.35">
      <c r="A19" s="109"/>
      <c r="B19" s="109"/>
      <c r="C19" s="109"/>
      <c r="D19" s="109"/>
      <c r="E19" s="109"/>
      <c r="F19" s="109"/>
      <c r="G19" s="109"/>
      <c r="H19" s="109"/>
      <c r="I19" s="109"/>
      <c r="J19" s="109"/>
      <c r="K19" s="109"/>
      <c r="L19" s="109"/>
      <c r="M19" s="109"/>
      <c r="N19" s="109"/>
      <c r="O19" s="109"/>
      <c r="P19" s="109"/>
      <c r="Q19" s="109"/>
      <c r="R19" s="109"/>
      <c r="S19" s="109"/>
      <c r="T19" s="109"/>
      <c r="U19" s="109"/>
      <c r="V19" s="109"/>
      <c r="W19" s="109"/>
      <c r="X19" s="109"/>
      <c r="Y19" s="109"/>
      <c r="Z19" s="109"/>
      <c r="AA19" s="109"/>
      <c r="AB19" s="109"/>
      <c r="AC19" s="109"/>
      <c r="AD19" s="109"/>
      <c r="AE19" s="109"/>
      <c r="AF19" s="109"/>
      <c r="AG19" s="109"/>
      <c r="AH19" s="109"/>
      <c r="AI19" s="109"/>
      <c r="AJ19" s="109"/>
      <c r="AK19" s="109"/>
      <c r="AL19" s="109"/>
      <c r="AM19" s="109"/>
    </row>
    <row r="20" spans="1:39" x14ac:dyDescent="0.35">
      <c r="A20" s="109"/>
      <c r="B20" s="109"/>
      <c r="C20" s="109"/>
      <c r="D20" s="109"/>
      <c r="E20" s="109"/>
      <c r="F20" s="109"/>
      <c r="G20" s="109"/>
      <c r="H20" s="109"/>
      <c r="I20" s="109"/>
      <c r="J20" s="109"/>
      <c r="K20" s="109"/>
      <c r="L20" s="109"/>
      <c r="M20" s="109"/>
      <c r="N20" s="109"/>
      <c r="O20" s="109"/>
      <c r="P20" s="109"/>
      <c r="Q20" s="109"/>
      <c r="R20" s="109"/>
      <c r="S20" s="109"/>
      <c r="T20" s="109"/>
      <c r="U20" s="109"/>
      <c r="V20" s="109"/>
      <c r="W20" s="109"/>
      <c r="X20" s="109"/>
      <c r="Y20" s="109"/>
      <c r="Z20" s="109"/>
      <c r="AA20" s="109"/>
      <c r="AB20" s="109"/>
      <c r="AC20" s="109"/>
      <c r="AD20" s="109"/>
      <c r="AE20" s="109"/>
      <c r="AF20" s="109"/>
      <c r="AG20" s="109"/>
      <c r="AH20" s="109"/>
      <c r="AI20" s="109"/>
      <c r="AJ20" s="109"/>
      <c r="AK20" s="109"/>
      <c r="AL20" s="109"/>
      <c r="AM20" s="109"/>
    </row>
    <row r="21" spans="1:39" x14ac:dyDescent="0.35">
      <c r="A21" s="109"/>
      <c r="B21" s="109"/>
      <c r="C21" s="109"/>
      <c r="D21" s="109"/>
      <c r="E21" s="109"/>
      <c r="F21" s="109"/>
      <c r="G21" s="109"/>
      <c r="H21" s="109"/>
      <c r="I21" s="109"/>
      <c r="J21" s="109"/>
      <c r="K21" s="109"/>
      <c r="L21" s="109"/>
      <c r="M21" s="109"/>
      <c r="N21" s="109"/>
      <c r="O21" s="109"/>
      <c r="P21" s="109"/>
      <c r="Q21" s="109"/>
      <c r="R21" s="109"/>
      <c r="S21" s="109"/>
      <c r="T21" s="109"/>
      <c r="U21" s="109"/>
      <c r="V21" s="109"/>
      <c r="W21" s="109"/>
      <c r="X21" s="109"/>
      <c r="Y21" s="109"/>
      <c r="Z21" s="109"/>
      <c r="AA21" s="109"/>
      <c r="AB21" s="109"/>
      <c r="AC21" s="109"/>
      <c r="AD21" s="109"/>
      <c r="AE21" s="109"/>
      <c r="AF21" s="109"/>
      <c r="AG21" s="109"/>
      <c r="AH21" s="109"/>
      <c r="AI21" s="109"/>
      <c r="AJ21" s="109"/>
      <c r="AK21" s="109"/>
      <c r="AL21" s="109"/>
      <c r="AM21" s="109"/>
    </row>
    <row r="22" spans="1:39" x14ac:dyDescent="0.35">
      <c r="A22" s="109"/>
      <c r="B22" s="109"/>
      <c r="C22" s="109"/>
      <c r="D22" s="109"/>
      <c r="E22" s="109"/>
      <c r="F22" s="109"/>
      <c r="G22" s="109"/>
      <c r="H22" s="109"/>
      <c r="I22" s="109"/>
      <c r="J22" s="109"/>
      <c r="K22" s="109"/>
      <c r="L22" s="109"/>
      <c r="M22" s="109"/>
      <c r="N22" s="109"/>
      <c r="O22" s="109"/>
      <c r="P22" s="109"/>
      <c r="Q22" s="109"/>
      <c r="R22" s="109"/>
      <c r="S22" s="109"/>
      <c r="T22" s="109"/>
      <c r="U22" s="109"/>
      <c r="V22" s="109"/>
      <c r="W22" s="109"/>
      <c r="X22" s="109"/>
      <c r="Y22" s="109"/>
      <c r="Z22" s="109"/>
      <c r="AA22" s="109"/>
      <c r="AB22" s="109"/>
      <c r="AC22" s="109"/>
      <c r="AD22" s="109"/>
      <c r="AE22" s="109"/>
      <c r="AF22" s="109"/>
      <c r="AG22" s="109"/>
      <c r="AH22" s="109"/>
      <c r="AI22" s="109"/>
      <c r="AJ22" s="109"/>
      <c r="AK22" s="109"/>
      <c r="AL22" s="109"/>
      <c r="AM22" s="109"/>
    </row>
    <row r="23" spans="1:39" x14ac:dyDescent="0.35">
      <c r="A23" s="109"/>
      <c r="B23" s="109"/>
      <c r="C23" s="109"/>
      <c r="D23" s="109"/>
      <c r="E23" s="109"/>
      <c r="F23" s="109"/>
      <c r="G23" s="109"/>
      <c r="H23" s="109"/>
      <c r="I23" s="109"/>
      <c r="J23" s="109"/>
      <c r="K23" s="109"/>
      <c r="L23" s="109"/>
      <c r="M23" s="109"/>
      <c r="N23" s="109"/>
      <c r="O23" s="109"/>
      <c r="P23" s="109"/>
      <c r="Q23" s="109"/>
      <c r="R23" s="109"/>
      <c r="S23" s="109"/>
      <c r="T23" s="109"/>
      <c r="U23" s="109"/>
      <c r="V23" s="109"/>
      <c r="W23" s="109"/>
      <c r="X23" s="109"/>
      <c r="Y23" s="109"/>
      <c r="Z23" s="109"/>
      <c r="AA23" s="109"/>
      <c r="AB23" s="109"/>
      <c r="AC23" s="109"/>
      <c r="AD23" s="109"/>
      <c r="AE23" s="109"/>
      <c r="AF23" s="109"/>
      <c r="AG23" s="109"/>
      <c r="AH23" s="109"/>
      <c r="AI23" s="109"/>
      <c r="AJ23" s="109"/>
      <c r="AK23" s="109"/>
      <c r="AL23" s="109"/>
      <c r="AM23" s="109"/>
    </row>
    <row r="24" spans="1:39" x14ac:dyDescent="0.35">
      <c r="A24" s="109"/>
      <c r="B24" s="109"/>
      <c r="C24" s="109"/>
      <c r="D24" s="109"/>
      <c r="E24" s="109"/>
      <c r="F24" s="109"/>
      <c r="G24" s="109"/>
      <c r="H24" s="109"/>
      <c r="I24" s="109"/>
      <c r="J24" s="109"/>
      <c r="K24" s="109"/>
      <c r="L24" s="109"/>
      <c r="M24" s="109"/>
      <c r="N24" s="109"/>
      <c r="O24" s="109"/>
      <c r="P24" s="109"/>
      <c r="Q24" s="109"/>
      <c r="R24" s="109"/>
      <c r="S24" s="109"/>
      <c r="T24" s="109"/>
      <c r="U24" s="109"/>
      <c r="V24" s="109"/>
      <c r="W24" s="109"/>
      <c r="X24" s="109"/>
      <c r="Y24" s="109"/>
      <c r="Z24" s="109"/>
      <c r="AA24" s="109"/>
      <c r="AB24" s="109"/>
      <c r="AC24" s="109"/>
      <c r="AD24" s="109"/>
      <c r="AE24" s="109"/>
      <c r="AF24" s="109"/>
      <c r="AG24" s="109"/>
      <c r="AH24" s="109"/>
      <c r="AI24" s="109"/>
      <c r="AJ24" s="109"/>
      <c r="AK24" s="109"/>
      <c r="AL24" s="109"/>
      <c r="AM24" s="109"/>
    </row>
    <row r="25" spans="1:39" x14ac:dyDescent="0.35">
      <c r="A25" s="109"/>
      <c r="B25" s="109"/>
      <c r="C25" s="109"/>
      <c r="D25" s="109"/>
      <c r="E25" s="109"/>
      <c r="F25" s="109"/>
      <c r="G25" s="109"/>
      <c r="H25" s="109"/>
      <c r="I25" s="109"/>
      <c r="J25" s="109"/>
      <c r="K25" s="109"/>
      <c r="L25" s="109"/>
      <c r="M25" s="109"/>
      <c r="N25" s="109"/>
      <c r="O25" s="109"/>
      <c r="P25" s="109"/>
      <c r="Q25" s="109"/>
      <c r="R25" s="109"/>
      <c r="S25" s="109"/>
      <c r="T25" s="109"/>
      <c r="U25" s="109"/>
      <c r="V25" s="109"/>
      <c r="W25" s="109"/>
      <c r="X25" s="109"/>
      <c r="Y25" s="109"/>
      <c r="Z25" s="109"/>
      <c r="AA25" s="109"/>
      <c r="AB25" s="109"/>
      <c r="AC25" s="109"/>
      <c r="AD25" s="109"/>
      <c r="AE25" s="109"/>
      <c r="AF25" s="109"/>
      <c r="AG25" s="109"/>
      <c r="AH25" s="109"/>
      <c r="AI25" s="109"/>
      <c r="AJ25" s="109"/>
      <c r="AK25" s="109"/>
      <c r="AL25" s="109"/>
      <c r="AM25" s="109"/>
    </row>
    <row r="26" spans="1:39" x14ac:dyDescent="0.35">
      <c r="A26" s="109"/>
      <c r="B26" s="109"/>
      <c r="C26" s="109"/>
      <c r="D26" s="109"/>
      <c r="E26" s="109"/>
      <c r="F26" s="109"/>
      <c r="G26" s="109"/>
      <c r="H26" s="109"/>
      <c r="I26" s="109"/>
      <c r="J26" s="109"/>
      <c r="K26" s="109"/>
      <c r="L26" s="109"/>
      <c r="M26" s="109"/>
      <c r="N26" s="109"/>
      <c r="O26" s="109"/>
      <c r="P26" s="109"/>
      <c r="Q26" s="109"/>
      <c r="R26" s="109"/>
      <c r="S26" s="109"/>
      <c r="T26" s="109"/>
      <c r="U26" s="109"/>
      <c r="V26" s="109"/>
      <c r="W26" s="109"/>
      <c r="X26" s="109"/>
      <c r="Y26" s="109"/>
      <c r="Z26" s="109"/>
      <c r="AA26" s="109"/>
      <c r="AB26" s="109"/>
      <c r="AC26" s="109"/>
      <c r="AD26" s="109"/>
      <c r="AE26" s="109"/>
      <c r="AF26" s="109"/>
      <c r="AG26" s="109"/>
      <c r="AH26" s="109"/>
      <c r="AI26" s="109"/>
      <c r="AJ26" s="109"/>
      <c r="AK26" s="109"/>
      <c r="AL26" s="109"/>
      <c r="AM26" s="109"/>
    </row>
    <row r="27" spans="1:39" x14ac:dyDescent="0.35">
      <c r="A27" s="109"/>
      <c r="B27" s="109"/>
      <c r="C27" s="109"/>
      <c r="D27" s="109"/>
      <c r="E27" s="109"/>
      <c r="F27" s="109"/>
      <c r="G27" s="109"/>
      <c r="H27" s="109"/>
      <c r="I27" s="109"/>
      <c r="J27" s="109"/>
      <c r="K27" s="109"/>
      <c r="L27" s="109"/>
      <c r="M27" s="109"/>
      <c r="N27" s="109"/>
      <c r="O27" s="109"/>
      <c r="P27" s="109"/>
      <c r="Q27" s="109"/>
      <c r="R27" s="109"/>
      <c r="S27" s="109"/>
      <c r="T27" s="109"/>
      <c r="U27" s="109"/>
      <c r="V27" s="109"/>
      <c r="W27" s="109"/>
      <c r="X27" s="109"/>
      <c r="Y27" s="109"/>
      <c r="Z27" s="109"/>
      <c r="AA27" s="109"/>
      <c r="AB27" s="109"/>
      <c r="AC27" s="109"/>
      <c r="AD27" s="109"/>
      <c r="AE27" s="109"/>
      <c r="AF27" s="109"/>
      <c r="AG27" s="109"/>
      <c r="AH27" s="109"/>
      <c r="AI27" s="109"/>
      <c r="AJ27" s="109"/>
      <c r="AK27" s="109"/>
      <c r="AL27" s="109"/>
      <c r="AM27" s="109"/>
    </row>
    <row r="28" spans="1:39" x14ac:dyDescent="0.35">
      <c r="A28" s="109"/>
      <c r="B28" s="109"/>
      <c r="C28" s="109"/>
      <c r="D28" s="109"/>
      <c r="E28" s="109"/>
      <c r="F28" s="109"/>
      <c r="G28" s="109"/>
      <c r="H28" s="109"/>
      <c r="I28" s="109"/>
      <c r="J28" s="109"/>
      <c r="K28" s="109"/>
      <c r="L28" s="109"/>
      <c r="M28" s="109"/>
      <c r="N28" s="109"/>
      <c r="O28" s="109"/>
      <c r="P28" s="109"/>
      <c r="Q28" s="109"/>
      <c r="R28" s="109"/>
      <c r="S28" s="109"/>
      <c r="T28" s="109"/>
      <c r="U28" s="109"/>
      <c r="V28" s="109"/>
      <c r="W28" s="109"/>
      <c r="X28" s="109"/>
      <c r="Y28" s="109"/>
      <c r="Z28" s="109"/>
      <c r="AA28" s="109"/>
      <c r="AB28" s="109"/>
      <c r="AC28" s="109"/>
      <c r="AD28" s="109"/>
      <c r="AE28" s="109"/>
      <c r="AF28" s="109"/>
      <c r="AG28" s="109"/>
      <c r="AH28" s="109"/>
      <c r="AI28" s="109"/>
      <c r="AJ28" s="109"/>
      <c r="AK28" s="109"/>
      <c r="AL28" s="109"/>
      <c r="AM28" s="109"/>
    </row>
    <row r="29" spans="1:39" x14ac:dyDescent="0.35">
      <c r="A29" s="109"/>
      <c r="B29" s="109"/>
      <c r="C29" s="109"/>
      <c r="D29" s="109"/>
      <c r="E29" s="109"/>
      <c r="F29" s="109"/>
      <c r="G29" s="109"/>
      <c r="H29" s="109"/>
      <c r="I29" s="109"/>
      <c r="J29" s="109"/>
      <c r="K29" s="109"/>
      <c r="L29" s="109"/>
      <c r="M29" s="109"/>
      <c r="N29" s="109"/>
      <c r="O29" s="109"/>
      <c r="P29" s="109"/>
      <c r="Q29" s="109"/>
      <c r="R29" s="109"/>
      <c r="S29" s="109"/>
      <c r="T29" s="109"/>
      <c r="U29" s="109"/>
      <c r="V29" s="109"/>
      <c r="W29" s="109"/>
      <c r="X29" s="109"/>
      <c r="Y29" s="109"/>
      <c r="Z29" s="109"/>
      <c r="AA29" s="109"/>
      <c r="AB29" s="109"/>
      <c r="AC29" s="109"/>
      <c r="AD29" s="109"/>
      <c r="AE29" s="109"/>
      <c r="AF29" s="109"/>
      <c r="AG29" s="109"/>
      <c r="AH29" s="109"/>
      <c r="AI29" s="109"/>
      <c r="AJ29" s="109"/>
      <c r="AK29" s="109"/>
      <c r="AL29" s="109"/>
      <c r="AM29" s="109"/>
    </row>
    <row r="30" spans="1:39" x14ac:dyDescent="0.35">
      <c r="A30" s="109"/>
      <c r="B30" s="109"/>
      <c r="C30" s="109"/>
      <c r="D30" s="109"/>
      <c r="E30" s="109"/>
      <c r="F30" s="109"/>
      <c r="G30" s="109"/>
      <c r="H30" s="109"/>
      <c r="I30" s="109"/>
      <c r="J30" s="109"/>
      <c r="K30" s="109"/>
      <c r="L30" s="109"/>
      <c r="M30" s="109"/>
      <c r="N30" s="109"/>
      <c r="O30" s="109"/>
      <c r="P30" s="109"/>
      <c r="Q30" s="109"/>
      <c r="R30" s="109"/>
      <c r="S30" s="109"/>
      <c r="T30" s="109"/>
      <c r="U30" s="109"/>
      <c r="V30" s="109"/>
      <c r="W30" s="109"/>
      <c r="X30" s="109"/>
      <c r="Y30" s="109"/>
      <c r="Z30" s="109"/>
      <c r="AA30" s="109"/>
      <c r="AB30" s="109"/>
      <c r="AC30" s="109"/>
      <c r="AD30" s="109"/>
      <c r="AE30" s="109"/>
      <c r="AF30" s="109"/>
      <c r="AG30" s="109"/>
      <c r="AH30" s="109"/>
      <c r="AI30" s="109"/>
      <c r="AJ30" s="109"/>
      <c r="AK30" s="109"/>
      <c r="AL30" s="109"/>
      <c r="AM30" s="109"/>
    </row>
    <row r="31" spans="1:39" x14ac:dyDescent="0.35">
      <c r="A31" s="109"/>
      <c r="B31" s="109"/>
      <c r="C31" s="109"/>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c r="AB31" s="109"/>
      <c r="AC31" s="109"/>
      <c r="AD31" s="109"/>
      <c r="AE31" s="109"/>
      <c r="AF31" s="109"/>
      <c r="AG31" s="109"/>
      <c r="AH31" s="109"/>
      <c r="AI31" s="109"/>
      <c r="AJ31" s="109"/>
      <c r="AK31" s="109"/>
      <c r="AL31" s="109"/>
      <c r="AM31" s="109"/>
    </row>
    <row r="32" spans="1:39" x14ac:dyDescent="0.35">
      <c r="A32" s="109"/>
      <c r="B32" s="109"/>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c r="AB32" s="109"/>
      <c r="AC32" s="109"/>
      <c r="AD32" s="109"/>
      <c r="AE32" s="109"/>
      <c r="AF32" s="109"/>
      <c r="AG32" s="109"/>
      <c r="AH32" s="109"/>
      <c r="AI32" s="109"/>
      <c r="AJ32" s="109"/>
      <c r="AK32" s="109"/>
      <c r="AL32" s="109"/>
      <c r="AM32" s="109"/>
    </row>
    <row r="33" spans="1:39" x14ac:dyDescent="0.35">
      <c r="A33" s="109"/>
      <c r="B33" s="109"/>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c r="AB33" s="109"/>
      <c r="AC33" s="109"/>
      <c r="AD33" s="109"/>
      <c r="AE33" s="109"/>
      <c r="AF33" s="109"/>
      <c r="AG33" s="109"/>
      <c r="AH33" s="109"/>
      <c r="AI33" s="109"/>
      <c r="AJ33" s="109"/>
      <c r="AK33" s="109"/>
      <c r="AL33" s="109"/>
      <c r="AM33" s="109"/>
    </row>
    <row r="34" spans="1:39" x14ac:dyDescent="0.35">
      <c r="A34" s="109"/>
      <c r="B34" s="109"/>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c r="AB34" s="109"/>
      <c r="AC34" s="109"/>
      <c r="AD34" s="109"/>
      <c r="AE34" s="109"/>
      <c r="AF34" s="109"/>
      <c r="AG34" s="109"/>
      <c r="AH34" s="109"/>
      <c r="AI34" s="109"/>
      <c r="AJ34" s="109"/>
      <c r="AK34" s="109"/>
      <c r="AL34" s="109"/>
      <c r="AM34" s="109"/>
    </row>
    <row r="35" spans="1:39" x14ac:dyDescent="0.35">
      <c r="A35" s="109"/>
      <c r="B35" s="109"/>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c r="AB35" s="109"/>
      <c r="AC35" s="109"/>
      <c r="AD35" s="109"/>
      <c r="AE35" s="109"/>
      <c r="AF35" s="109"/>
      <c r="AG35" s="109"/>
      <c r="AH35" s="109"/>
      <c r="AI35" s="109"/>
      <c r="AJ35" s="109"/>
      <c r="AK35" s="109"/>
      <c r="AL35" s="109"/>
      <c r="AM35" s="109"/>
    </row>
    <row r="36" spans="1:39" x14ac:dyDescent="0.35">
      <c r="A36" s="109"/>
      <c r="B36" s="109"/>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c r="AB36" s="109"/>
      <c r="AC36" s="109"/>
      <c r="AD36" s="109"/>
      <c r="AE36" s="109"/>
      <c r="AF36" s="109"/>
      <c r="AG36" s="109"/>
      <c r="AH36" s="109"/>
      <c r="AI36" s="109"/>
      <c r="AJ36" s="109"/>
      <c r="AK36" s="109"/>
      <c r="AL36" s="109"/>
      <c r="AM36" s="109"/>
    </row>
    <row r="37" spans="1:39" x14ac:dyDescent="0.35">
      <c r="A37" s="109"/>
      <c r="B37" s="109"/>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c r="AB37" s="109"/>
      <c r="AC37" s="109"/>
      <c r="AD37" s="109"/>
      <c r="AE37" s="109"/>
      <c r="AF37" s="109"/>
      <c r="AG37" s="109"/>
      <c r="AH37" s="109"/>
      <c r="AI37" s="109"/>
      <c r="AJ37" s="109"/>
      <c r="AK37" s="109"/>
      <c r="AL37" s="109"/>
      <c r="AM37" s="109"/>
    </row>
    <row r="38" spans="1:39" x14ac:dyDescent="0.35">
      <c r="A38" s="109"/>
      <c r="B38" s="109"/>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c r="AB38" s="109"/>
      <c r="AC38" s="109"/>
      <c r="AD38" s="109"/>
      <c r="AE38" s="109"/>
      <c r="AF38" s="109"/>
      <c r="AG38" s="109"/>
      <c r="AH38" s="109"/>
      <c r="AI38" s="109"/>
      <c r="AJ38" s="109"/>
      <c r="AK38" s="109"/>
      <c r="AL38" s="109"/>
      <c r="AM38" s="109"/>
    </row>
    <row r="39" spans="1:39" x14ac:dyDescent="0.35">
      <c r="A39" s="109"/>
      <c r="B39" s="109"/>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c r="AB39" s="109"/>
      <c r="AC39" s="109"/>
      <c r="AD39" s="109"/>
      <c r="AE39" s="109"/>
      <c r="AF39" s="109"/>
      <c r="AG39" s="109"/>
      <c r="AH39" s="109"/>
      <c r="AI39" s="109"/>
      <c r="AJ39" s="109"/>
      <c r="AK39" s="109"/>
      <c r="AL39" s="109"/>
      <c r="AM39" s="109"/>
    </row>
    <row r="40" spans="1:39" x14ac:dyDescent="0.35">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c r="AB40" s="109"/>
      <c r="AC40" s="109"/>
      <c r="AD40" s="109"/>
      <c r="AE40" s="109"/>
      <c r="AF40" s="109"/>
      <c r="AG40" s="109"/>
      <c r="AH40" s="109"/>
      <c r="AI40" s="109"/>
      <c r="AJ40" s="109"/>
      <c r="AK40" s="109"/>
      <c r="AL40" s="109"/>
      <c r="AM40" s="109"/>
    </row>
    <row r="41" spans="1:39" x14ac:dyDescent="0.35">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c r="AB41" s="109"/>
      <c r="AC41" s="109"/>
      <c r="AD41" s="109"/>
      <c r="AE41" s="109"/>
      <c r="AF41" s="109"/>
      <c r="AG41" s="109"/>
      <c r="AH41" s="109"/>
      <c r="AI41" s="109"/>
      <c r="AJ41" s="109"/>
      <c r="AK41" s="109"/>
      <c r="AL41" s="109"/>
      <c r="AM41" s="109"/>
    </row>
    <row r="42" spans="1:39" x14ac:dyDescent="0.35">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09"/>
      <c r="AB42" s="109"/>
      <c r="AC42" s="109"/>
      <c r="AD42" s="109"/>
      <c r="AE42" s="109"/>
      <c r="AF42" s="109"/>
      <c r="AG42" s="109"/>
      <c r="AH42" s="109"/>
      <c r="AI42" s="109"/>
      <c r="AJ42" s="109"/>
      <c r="AK42" s="109"/>
      <c r="AL42" s="109"/>
      <c r="AM42" s="109"/>
    </row>
    <row r="43" spans="1:39" x14ac:dyDescent="0.35">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c r="AA43" s="109"/>
      <c r="AB43" s="109"/>
      <c r="AC43" s="109"/>
      <c r="AD43" s="109"/>
      <c r="AE43" s="109"/>
      <c r="AF43" s="109"/>
      <c r="AG43" s="109"/>
      <c r="AH43" s="109"/>
      <c r="AI43" s="109"/>
      <c r="AJ43" s="109"/>
      <c r="AK43" s="109"/>
      <c r="AL43" s="109"/>
      <c r="AM43" s="109"/>
    </row>
    <row r="44" spans="1:39" x14ac:dyDescent="0.35">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c r="AA44" s="109"/>
      <c r="AB44" s="109"/>
      <c r="AC44" s="109"/>
      <c r="AD44" s="109"/>
      <c r="AE44" s="109"/>
      <c r="AF44" s="109"/>
      <c r="AG44" s="109"/>
      <c r="AH44" s="109"/>
      <c r="AI44" s="109"/>
      <c r="AJ44" s="109"/>
      <c r="AK44" s="109"/>
      <c r="AL44" s="109"/>
      <c r="AM44" s="109"/>
    </row>
    <row r="45" spans="1:39" x14ac:dyDescent="0.35">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c r="AA45" s="109"/>
      <c r="AB45" s="109"/>
      <c r="AC45" s="109"/>
      <c r="AD45" s="109"/>
      <c r="AE45" s="109"/>
      <c r="AF45" s="109"/>
      <c r="AG45" s="109"/>
      <c r="AH45" s="109"/>
      <c r="AI45" s="109"/>
      <c r="AJ45" s="109"/>
      <c r="AK45" s="109"/>
      <c r="AL45" s="109"/>
      <c r="AM45" s="109"/>
    </row>
    <row r="46" spans="1:39" x14ac:dyDescent="0.35">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09"/>
      <c r="AB46" s="109"/>
      <c r="AC46" s="109"/>
      <c r="AD46" s="109"/>
      <c r="AE46" s="109"/>
      <c r="AF46" s="109"/>
      <c r="AG46" s="109"/>
      <c r="AH46" s="109"/>
      <c r="AI46" s="109"/>
      <c r="AJ46" s="109"/>
      <c r="AK46" s="109"/>
      <c r="AL46" s="109"/>
      <c r="AM46" s="109"/>
    </row>
    <row r="47" spans="1:39" x14ac:dyDescent="0.35">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c r="AA47" s="109"/>
      <c r="AB47" s="109"/>
      <c r="AC47" s="109"/>
      <c r="AD47" s="109"/>
      <c r="AE47" s="109"/>
      <c r="AF47" s="109"/>
      <c r="AG47" s="109"/>
      <c r="AH47" s="109"/>
      <c r="AI47" s="109"/>
      <c r="AJ47" s="109"/>
      <c r="AK47" s="109"/>
      <c r="AL47" s="109"/>
      <c r="AM47" s="109"/>
    </row>
    <row r="48" spans="1:39" x14ac:dyDescent="0.35">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c r="AA48" s="109"/>
      <c r="AB48" s="109"/>
      <c r="AC48" s="109"/>
      <c r="AD48" s="109"/>
      <c r="AE48" s="109"/>
      <c r="AF48" s="109"/>
      <c r="AG48" s="109"/>
      <c r="AH48" s="109"/>
      <c r="AI48" s="109"/>
      <c r="AJ48" s="109"/>
      <c r="AK48" s="109"/>
      <c r="AL48" s="109"/>
      <c r="AM48" s="109"/>
    </row>
    <row r="49" spans="1:39" x14ac:dyDescent="0.35">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c r="AA49" s="109"/>
      <c r="AB49" s="109"/>
      <c r="AC49" s="109"/>
      <c r="AD49" s="109"/>
      <c r="AE49" s="109"/>
      <c r="AF49" s="109"/>
      <c r="AG49" s="109"/>
      <c r="AH49" s="109"/>
      <c r="AI49" s="109"/>
      <c r="AJ49" s="109"/>
      <c r="AK49" s="109"/>
      <c r="AL49" s="109"/>
      <c r="AM49" s="109"/>
    </row>
    <row r="50" spans="1:39" x14ac:dyDescent="0.35">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c r="AA50" s="109"/>
      <c r="AB50" s="109"/>
      <c r="AC50" s="109"/>
      <c r="AD50" s="109"/>
      <c r="AE50" s="109"/>
      <c r="AF50" s="109"/>
      <c r="AG50" s="109"/>
      <c r="AH50" s="109"/>
      <c r="AI50" s="109"/>
      <c r="AJ50" s="109"/>
      <c r="AK50" s="109"/>
      <c r="AL50" s="109"/>
      <c r="AM50" s="109"/>
    </row>
    <row r="51" spans="1:39" x14ac:dyDescent="0.35">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c r="AA51" s="109"/>
      <c r="AB51" s="109"/>
      <c r="AC51" s="109"/>
      <c r="AD51" s="109"/>
      <c r="AE51" s="109"/>
      <c r="AF51" s="109"/>
      <c r="AG51" s="109"/>
      <c r="AH51" s="109"/>
      <c r="AI51" s="109"/>
      <c r="AJ51" s="109"/>
      <c r="AK51" s="109"/>
      <c r="AL51" s="109"/>
      <c r="AM51" s="109"/>
    </row>
    <row r="52" spans="1:39" x14ac:dyDescent="0.35">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c r="AA52" s="109"/>
      <c r="AB52" s="109"/>
      <c r="AC52" s="109"/>
      <c r="AD52" s="109"/>
      <c r="AE52" s="109"/>
      <c r="AF52" s="109"/>
      <c r="AG52" s="109"/>
      <c r="AH52" s="109"/>
      <c r="AI52" s="109"/>
      <c r="AJ52" s="109"/>
      <c r="AK52" s="109"/>
      <c r="AL52" s="109"/>
      <c r="AM52" s="109"/>
    </row>
    <row r="53" spans="1:39" x14ac:dyDescent="0.35">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c r="AA53" s="109"/>
      <c r="AB53" s="109"/>
      <c r="AC53" s="109"/>
      <c r="AD53" s="109"/>
      <c r="AE53" s="109"/>
      <c r="AF53" s="109"/>
      <c r="AG53" s="109"/>
      <c r="AH53" s="109"/>
      <c r="AI53" s="109"/>
      <c r="AJ53" s="109"/>
      <c r="AK53" s="109"/>
      <c r="AL53" s="109"/>
      <c r="AM53" s="109"/>
    </row>
    <row r="54" spans="1:39" x14ac:dyDescent="0.35">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c r="AA54" s="109"/>
      <c r="AB54" s="109"/>
      <c r="AC54" s="109"/>
      <c r="AD54" s="109"/>
      <c r="AE54" s="109"/>
      <c r="AF54" s="109"/>
      <c r="AG54" s="109"/>
      <c r="AH54" s="109"/>
      <c r="AI54" s="109"/>
      <c r="AJ54" s="109"/>
      <c r="AK54" s="109"/>
      <c r="AL54" s="109"/>
      <c r="AM54" s="109"/>
    </row>
    <row r="55" spans="1:39" x14ac:dyDescent="0.35">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c r="AA55" s="109"/>
      <c r="AB55" s="109"/>
      <c r="AC55" s="109"/>
      <c r="AD55" s="109"/>
      <c r="AE55" s="109"/>
      <c r="AF55" s="109"/>
      <c r="AG55" s="109"/>
      <c r="AH55" s="109"/>
      <c r="AI55" s="109"/>
      <c r="AJ55" s="109"/>
      <c r="AK55" s="109"/>
      <c r="AL55" s="109"/>
      <c r="AM55" s="109"/>
    </row>
    <row r="56" spans="1:39" x14ac:dyDescent="0.35">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c r="AA56" s="109"/>
      <c r="AB56" s="109"/>
      <c r="AC56" s="109"/>
      <c r="AD56" s="109"/>
      <c r="AE56" s="109"/>
      <c r="AF56" s="109"/>
      <c r="AG56" s="109"/>
      <c r="AH56" s="109"/>
      <c r="AI56" s="109"/>
      <c r="AJ56" s="109"/>
      <c r="AK56" s="109"/>
      <c r="AL56" s="109"/>
      <c r="AM56" s="109"/>
    </row>
    <row r="57" spans="1:39" x14ac:dyDescent="0.35">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c r="AA57" s="109"/>
      <c r="AB57" s="109"/>
      <c r="AC57" s="109"/>
      <c r="AD57" s="109"/>
      <c r="AE57" s="109"/>
      <c r="AF57" s="109"/>
      <c r="AG57" s="109"/>
      <c r="AH57" s="109"/>
      <c r="AI57" s="109"/>
      <c r="AJ57" s="109"/>
      <c r="AK57" s="109"/>
      <c r="AL57" s="109"/>
      <c r="AM57" s="109"/>
    </row>
    <row r="58" spans="1:39" x14ac:dyDescent="0.35">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c r="AA58" s="109"/>
      <c r="AB58" s="109"/>
      <c r="AC58" s="109"/>
      <c r="AD58" s="109"/>
      <c r="AE58" s="109"/>
      <c r="AF58" s="109"/>
      <c r="AG58" s="109"/>
      <c r="AH58" s="109"/>
      <c r="AI58" s="109"/>
      <c r="AJ58" s="109"/>
      <c r="AK58" s="109"/>
      <c r="AL58" s="109"/>
      <c r="AM58" s="109"/>
    </row>
    <row r="59" spans="1:39" x14ac:dyDescent="0.35">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c r="AA59" s="109"/>
      <c r="AB59" s="109"/>
      <c r="AC59" s="109"/>
      <c r="AD59" s="109"/>
      <c r="AE59" s="109"/>
      <c r="AF59" s="109"/>
      <c r="AG59" s="109"/>
      <c r="AH59" s="109"/>
      <c r="AI59" s="109"/>
      <c r="AJ59" s="109"/>
      <c r="AK59" s="109"/>
      <c r="AL59" s="109"/>
      <c r="AM59" s="109"/>
    </row>
    <row r="60" spans="1:39" x14ac:dyDescent="0.35">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c r="AA60" s="109"/>
      <c r="AB60" s="109"/>
      <c r="AC60" s="109"/>
      <c r="AD60" s="109"/>
      <c r="AE60" s="109"/>
      <c r="AF60" s="109"/>
      <c r="AG60" s="109"/>
      <c r="AH60" s="109"/>
      <c r="AI60" s="109"/>
      <c r="AJ60" s="109"/>
      <c r="AK60" s="109"/>
      <c r="AL60" s="109"/>
      <c r="AM60" s="109"/>
    </row>
    <row r="61" spans="1:39" x14ac:dyDescent="0.35">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c r="AA61" s="109"/>
      <c r="AB61" s="109"/>
      <c r="AC61" s="109"/>
      <c r="AD61" s="109"/>
      <c r="AE61" s="109"/>
      <c r="AF61" s="109"/>
      <c r="AG61" s="109"/>
      <c r="AH61" s="109"/>
      <c r="AI61" s="109"/>
      <c r="AJ61" s="109"/>
      <c r="AK61" s="109"/>
      <c r="AL61" s="109"/>
      <c r="AM61" s="109"/>
    </row>
    <row r="62" spans="1:39" x14ac:dyDescent="0.35">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c r="AA62" s="109"/>
      <c r="AB62" s="109"/>
      <c r="AC62" s="109"/>
      <c r="AD62" s="109"/>
      <c r="AE62" s="109"/>
      <c r="AF62" s="109"/>
      <c r="AG62" s="109"/>
      <c r="AH62" s="109"/>
      <c r="AI62" s="109"/>
      <c r="AJ62" s="109"/>
      <c r="AK62" s="109"/>
      <c r="AL62" s="109"/>
      <c r="AM62" s="109"/>
    </row>
    <row r="63" spans="1:39" x14ac:dyDescent="0.35">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c r="AA63" s="109"/>
      <c r="AB63" s="109"/>
      <c r="AC63" s="109"/>
      <c r="AD63" s="109"/>
      <c r="AE63" s="109"/>
      <c r="AF63" s="109"/>
      <c r="AG63" s="109"/>
      <c r="AH63" s="109"/>
      <c r="AI63" s="109"/>
      <c r="AJ63" s="109"/>
      <c r="AK63" s="109"/>
      <c r="AL63" s="109"/>
      <c r="AM63" s="109"/>
    </row>
    <row r="64" spans="1:39" x14ac:dyDescent="0.35">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c r="AA64" s="109"/>
      <c r="AB64" s="109"/>
      <c r="AC64" s="109"/>
      <c r="AD64" s="109"/>
      <c r="AE64" s="109"/>
      <c r="AF64" s="109"/>
      <c r="AG64" s="109"/>
      <c r="AH64" s="109"/>
      <c r="AI64" s="109"/>
      <c r="AJ64" s="109"/>
      <c r="AK64" s="109"/>
      <c r="AL64" s="109"/>
      <c r="AM64" s="109"/>
    </row>
    <row r="65" spans="1:39" x14ac:dyDescent="0.35">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c r="AA65" s="109"/>
      <c r="AB65" s="109"/>
      <c r="AC65" s="109"/>
      <c r="AD65" s="109"/>
      <c r="AE65" s="109"/>
      <c r="AF65" s="109"/>
      <c r="AG65" s="109"/>
      <c r="AH65" s="109"/>
      <c r="AI65" s="109"/>
      <c r="AJ65" s="109"/>
      <c r="AK65" s="109"/>
      <c r="AL65" s="109"/>
      <c r="AM65" s="109"/>
    </row>
    <row r="66" spans="1:39" x14ac:dyDescent="0.35">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09"/>
      <c r="AF66" s="109"/>
      <c r="AG66" s="109"/>
      <c r="AH66" s="109"/>
      <c r="AI66" s="109"/>
      <c r="AJ66" s="109"/>
      <c r="AK66" s="109"/>
      <c r="AL66" s="109"/>
      <c r="AM66" s="109"/>
    </row>
    <row r="67" spans="1:39" x14ac:dyDescent="0.35">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09"/>
      <c r="AJ67" s="109"/>
      <c r="AK67" s="109"/>
      <c r="AL67" s="109"/>
      <c r="AM67" s="109"/>
    </row>
    <row r="68" spans="1:39" x14ac:dyDescent="0.35">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09"/>
      <c r="AJ68" s="109"/>
      <c r="AK68" s="109"/>
      <c r="AL68" s="109"/>
      <c r="AM68" s="109"/>
    </row>
    <row r="69" spans="1:39" x14ac:dyDescent="0.35">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09"/>
      <c r="AJ69" s="109"/>
      <c r="AK69" s="109"/>
      <c r="AL69" s="109"/>
      <c r="AM69" s="109"/>
    </row>
    <row r="70" spans="1:39" x14ac:dyDescent="0.35">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09"/>
      <c r="AJ70" s="109"/>
      <c r="AK70" s="109"/>
      <c r="AL70" s="109"/>
      <c r="AM70" s="109"/>
    </row>
    <row r="71" spans="1:39" x14ac:dyDescent="0.35">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c r="AA71" s="109"/>
      <c r="AB71" s="109"/>
      <c r="AC71" s="109"/>
      <c r="AD71" s="109"/>
      <c r="AE71" s="109"/>
      <c r="AF71" s="109"/>
      <c r="AG71" s="109"/>
      <c r="AH71" s="109"/>
      <c r="AI71" s="109"/>
      <c r="AJ71" s="109"/>
      <c r="AK71" s="109"/>
      <c r="AL71" s="109"/>
      <c r="AM71" s="109"/>
    </row>
    <row r="72" spans="1:39" x14ac:dyDescent="0.35">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c r="AA72" s="109"/>
      <c r="AB72" s="109"/>
      <c r="AC72" s="109"/>
      <c r="AD72" s="109"/>
      <c r="AE72" s="109"/>
      <c r="AF72" s="109"/>
      <c r="AG72" s="109"/>
      <c r="AH72" s="109"/>
      <c r="AI72" s="109"/>
      <c r="AJ72" s="109"/>
      <c r="AK72" s="109"/>
      <c r="AL72" s="109"/>
      <c r="AM72" s="109"/>
    </row>
    <row r="73" spans="1:39" x14ac:dyDescent="0.35">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c r="AA73" s="109"/>
      <c r="AB73" s="109"/>
      <c r="AC73" s="109"/>
      <c r="AD73" s="109"/>
      <c r="AE73" s="109"/>
      <c r="AF73" s="109"/>
      <c r="AG73" s="109"/>
      <c r="AH73" s="109"/>
      <c r="AI73" s="109"/>
      <c r="AJ73" s="109"/>
      <c r="AK73" s="109"/>
      <c r="AL73" s="109"/>
      <c r="AM73" s="109"/>
    </row>
    <row r="74" spans="1:39" x14ac:dyDescent="0.35">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c r="AA74" s="109"/>
      <c r="AB74" s="109"/>
      <c r="AC74" s="109"/>
      <c r="AD74" s="109"/>
      <c r="AE74" s="109"/>
      <c r="AF74" s="109"/>
      <c r="AG74" s="109"/>
      <c r="AH74" s="109"/>
      <c r="AI74" s="109"/>
      <c r="AJ74" s="109"/>
      <c r="AK74" s="109"/>
      <c r="AL74" s="109"/>
      <c r="AM74" s="109"/>
    </row>
    <row r="75" spans="1:39" x14ac:dyDescent="0.35">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c r="AA75" s="109"/>
      <c r="AB75" s="109"/>
      <c r="AC75" s="109"/>
      <c r="AD75" s="109"/>
      <c r="AE75" s="109"/>
      <c r="AF75" s="109"/>
      <c r="AG75" s="109"/>
      <c r="AH75" s="109"/>
      <c r="AI75" s="109"/>
      <c r="AJ75" s="109"/>
      <c r="AK75" s="109"/>
      <c r="AL75" s="109"/>
      <c r="AM75" s="109"/>
    </row>
    <row r="76" spans="1:39" x14ac:dyDescent="0.35">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c r="AA76" s="109"/>
      <c r="AB76" s="109"/>
      <c r="AC76" s="109"/>
      <c r="AD76" s="109"/>
      <c r="AE76" s="109"/>
      <c r="AF76" s="109"/>
      <c r="AG76" s="109"/>
      <c r="AH76" s="109"/>
      <c r="AI76" s="109"/>
      <c r="AJ76" s="109"/>
      <c r="AK76" s="109"/>
      <c r="AL76" s="109"/>
      <c r="AM76" s="109"/>
    </row>
    <row r="77" spans="1:39" x14ac:dyDescent="0.35">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c r="AA77" s="109"/>
      <c r="AB77" s="109"/>
      <c r="AC77" s="109"/>
      <c r="AD77" s="109"/>
      <c r="AE77" s="109"/>
      <c r="AF77" s="109"/>
      <c r="AG77" s="109"/>
      <c r="AH77" s="109"/>
      <c r="AI77" s="109"/>
      <c r="AJ77" s="109"/>
      <c r="AK77" s="109"/>
      <c r="AL77" s="109"/>
      <c r="AM77" s="109"/>
    </row>
    <row r="78" spans="1:39" x14ac:dyDescent="0.35">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c r="AA78" s="109"/>
      <c r="AB78" s="109"/>
      <c r="AC78" s="109"/>
      <c r="AD78" s="109"/>
      <c r="AE78" s="109"/>
      <c r="AF78" s="109"/>
      <c r="AG78" s="109"/>
      <c r="AH78" s="109"/>
      <c r="AI78" s="109"/>
      <c r="AJ78" s="109"/>
      <c r="AK78" s="109"/>
      <c r="AL78" s="109"/>
      <c r="AM78" s="109"/>
    </row>
    <row r="79" spans="1:39" x14ac:dyDescent="0.35">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c r="AA79" s="109"/>
      <c r="AB79" s="109"/>
      <c r="AC79" s="109"/>
      <c r="AD79" s="109"/>
      <c r="AE79" s="109"/>
      <c r="AF79" s="109"/>
      <c r="AG79" s="109"/>
      <c r="AH79" s="109"/>
      <c r="AI79" s="109"/>
      <c r="AJ79" s="109"/>
      <c r="AK79" s="109"/>
      <c r="AL79" s="109"/>
      <c r="AM79" s="109"/>
    </row>
    <row r="80" spans="1:39" x14ac:dyDescent="0.35">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c r="AA80" s="109"/>
      <c r="AB80" s="109"/>
      <c r="AC80" s="109"/>
      <c r="AD80" s="109"/>
      <c r="AE80" s="109"/>
      <c r="AF80" s="109"/>
      <c r="AG80" s="109"/>
      <c r="AH80" s="109"/>
      <c r="AI80" s="109"/>
      <c r="AJ80" s="109"/>
      <c r="AK80" s="109"/>
      <c r="AL80" s="109"/>
      <c r="AM80" s="109"/>
    </row>
    <row r="81" spans="1:39" x14ac:dyDescent="0.35">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c r="AA81" s="109"/>
      <c r="AB81" s="109"/>
      <c r="AC81" s="109"/>
      <c r="AD81" s="109"/>
      <c r="AE81" s="109"/>
      <c r="AF81" s="109"/>
      <c r="AG81" s="109"/>
      <c r="AH81" s="109"/>
      <c r="AI81" s="109"/>
      <c r="AJ81" s="109"/>
      <c r="AK81" s="109"/>
      <c r="AL81" s="109"/>
      <c r="AM81" s="109"/>
    </row>
    <row r="82" spans="1:39" x14ac:dyDescent="0.35">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c r="AA82" s="109"/>
      <c r="AB82" s="109"/>
      <c r="AC82" s="109"/>
      <c r="AD82" s="109"/>
      <c r="AE82" s="109"/>
      <c r="AF82" s="109"/>
      <c r="AG82" s="109"/>
      <c r="AH82" s="109"/>
      <c r="AI82" s="109"/>
      <c r="AJ82" s="109"/>
      <c r="AK82" s="109"/>
      <c r="AL82" s="109"/>
      <c r="AM82" s="109"/>
    </row>
    <row r="83" spans="1:39" x14ac:dyDescent="0.35">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c r="AA83" s="109"/>
      <c r="AB83" s="109"/>
      <c r="AC83" s="109"/>
      <c r="AD83" s="109"/>
      <c r="AE83" s="109"/>
      <c r="AF83" s="109"/>
      <c r="AG83" s="109"/>
      <c r="AH83" s="109"/>
      <c r="AI83" s="109"/>
      <c r="AJ83" s="109"/>
      <c r="AK83" s="109"/>
      <c r="AL83" s="109"/>
      <c r="AM83" s="109"/>
    </row>
    <row r="84" spans="1:39" x14ac:dyDescent="0.35">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c r="AA84" s="109"/>
      <c r="AB84" s="109"/>
      <c r="AC84" s="109"/>
      <c r="AD84" s="109"/>
      <c r="AE84" s="109"/>
      <c r="AF84" s="109"/>
      <c r="AG84" s="109"/>
      <c r="AH84" s="109"/>
      <c r="AI84" s="109"/>
      <c r="AJ84" s="109"/>
      <c r="AK84" s="109"/>
      <c r="AL84" s="109"/>
      <c r="AM84" s="109"/>
    </row>
    <row r="85" spans="1:39" x14ac:dyDescent="0.35">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c r="AA85" s="109"/>
      <c r="AB85" s="109"/>
      <c r="AC85" s="109"/>
      <c r="AD85" s="109"/>
      <c r="AE85" s="109"/>
      <c r="AF85" s="109"/>
      <c r="AG85" s="109"/>
      <c r="AH85" s="109"/>
      <c r="AI85" s="109"/>
      <c r="AJ85" s="109"/>
      <c r="AK85" s="109"/>
      <c r="AL85" s="109"/>
      <c r="AM85" s="109"/>
    </row>
    <row r="86" spans="1:39" x14ac:dyDescent="0.35">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c r="AA86" s="109"/>
      <c r="AB86" s="109"/>
      <c r="AC86" s="109"/>
      <c r="AD86" s="109"/>
      <c r="AE86" s="109"/>
      <c r="AF86" s="109"/>
      <c r="AG86" s="109"/>
      <c r="AH86" s="109"/>
      <c r="AI86" s="109"/>
      <c r="AJ86" s="109"/>
      <c r="AK86" s="109"/>
      <c r="AL86" s="109"/>
      <c r="AM86" s="109"/>
    </row>
    <row r="87" spans="1:39" x14ac:dyDescent="0.35">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c r="AA87" s="109"/>
      <c r="AB87" s="109"/>
      <c r="AC87" s="109"/>
      <c r="AD87" s="109"/>
      <c r="AE87" s="109"/>
      <c r="AF87" s="109"/>
      <c r="AG87" s="109"/>
      <c r="AH87" s="109"/>
      <c r="AI87" s="109"/>
      <c r="AJ87" s="109"/>
      <c r="AK87" s="109"/>
      <c r="AL87" s="109"/>
      <c r="AM87" s="109"/>
    </row>
    <row r="88" spans="1:39" x14ac:dyDescent="0.35">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c r="AA88" s="109"/>
      <c r="AB88" s="109"/>
      <c r="AC88" s="109"/>
      <c r="AD88" s="109"/>
      <c r="AE88" s="109"/>
      <c r="AF88" s="109"/>
      <c r="AG88" s="109"/>
      <c r="AH88" s="109"/>
      <c r="AI88" s="109"/>
      <c r="AJ88" s="109"/>
      <c r="AK88" s="109"/>
      <c r="AL88" s="109"/>
      <c r="AM88" s="109"/>
    </row>
    <row r="89" spans="1:39" x14ac:dyDescent="0.35">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c r="AA89" s="109"/>
      <c r="AB89" s="109"/>
      <c r="AC89" s="109"/>
      <c r="AD89" s="109"/>
      <c r="AE89" s="109"/>
      <c r="AF89" s="109"/>
      <c r="AG89" s="109"/>
      <c r="AH89" s="109"/>
      <c r="AI89" s="109"/>
      <c r="AJ89" s="109"/>
      <c r="AK89" s="109"/>
      <c r="AL89" s="109"/>
      <c r="AM89" s="109"/>
    </row>
    <row r="90" spans="1:39" x14ac:dyDescent="0.35">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c r="AA90" s="109"/>
      <c r="AB90" s="109"/>
      <c r="AC90" s="109"/>
      <c r="AD90" s="109"/>
      <c r="AE90" s="109"/>
      <c r="AF90" s="109"/>
      <c r="AG90" s="109"/>
      <c r="AH90" s="109"/>
      <c r="AI90" s="109"/>
      <c r="AJ90" s="109"/>
      <c r="AK90" s="109"/>
      <c r="AL90" s="109"/>
      <c r="AM90" s="109"/>
    </row>
    <row r="91" spans="1:39" x14ac:dyDescent="0.35">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c r="AA91" s="109"/>
      <c r="AB91" s="109"/>
      <c r="AC91" s="109"/>
      <c r="AD91" s="109"/>
      <c r="AE91" s="109"/>
      <c r="AF91" s="109"/>
      <c r="AG91" s="109"/>
      <c r="AH91" s="109"/>
      <c r="AI91" s="109"/>
      <c r="AJ91" s="109"/>
      <c r="AK91" s="109"/>
      <c r="AL91" s="109"/>
      <c r="AM91" s="109"/>
    </row>
    <row r="92" spans="1:39" x14ac:dyDescent="0.35">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c r="AA92" s="109"/>
      <c r="AB92" s="109"/>
      <c r="AC92" s="109"/>
      <c r="AD92" s="109"/>
      <c r="AE92" s="109"/>
      <c r="AF92" s="109"/>
      <c r="AG92" s="109"/>
      <c r="AH92" s="109"/>
      <c r="AI92" s="109"/>
      <c r="AJ92" s="109"/>
      <c r="AK92" s="109"/>
      <c r="AL92" s="109"/>
      <c r="AM92" s="109"/>
    </row>
    <row r="93" spans="1:39" x14ac:dyDescent="0.35">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c r="AA93" s="109"/>
      <c r="AB93" s="109"/>
      <c r="AC93" s="109"/>
      <c r="AD93" s="109"/>
      <c r="AE93" s="109"/>
      <c r="AF93" s="109"/>
      <c r="AG93" s="109"/>
      <c r="AH93" s="109"/>
      <c r="AI93" s="109"/>
      <c r="AJ93" s="109"/>
      <c r="AK93" s="109"/>
      <c r="AL93" s="109"/>
      <c r="AM93" s="109"/>
    </row>
    <row r="94" spans="1:39" x14ac:dyDescent="0.35">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c r="AA94" s="109"/>
      <c r="AB94" s="109"/>
      <c r="AC94" s="109"/>
      <c r="AD94" s="109"/>
      <c r="AE94" s="109"/>
      <c r="AF94" s="109"/>
      <c r="AG94" s="109"/>
      <c r="AH94" s="109"/>
      <c r="AI94" s="109"/>
      <c r="AJ94" s="109"/>
      <c r="AK94" s="109"/>
      <c r="AL94" s="109"/>
      <c r="AM94" s="109"/>
    </row>
  </sheetData>
  <sheetProtection sheet="1" objects="1" scenarios="1" selectLockedCells="1"/>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8195" r:id="rId4" name="donebtn">
          <controlPr defaultSize="0" autoLine="0" r:id="rId5">
            <anchor moveWithCells="1">
              <from>
                <xdr:col>3</xdr:col>
                <xdr:colOff>333375</xdr:colOff>
                <xdr:row>7</xdr:row>
                <xdr:rowOff>66675</xdr:rowOff>
              </from>
              <to>
                <xdr:col>3</xdr:col>
                <xdr:colOff>1800225</xdr:colOff>
                <xdr:row>7</xdr:row>
                <xdr:rowOff>381000</xdr:rowOff>
              </to>
            </anchor>
          </controlPr>
        </control>
      </mc:Choice>
      <mc:Fallback>
        <control shapeId="8195" r:id="rId4" name="donebtn"/>
      </mc:Fallback>
    </mc:AlternateContent>
    <mc:AlternateContent xmlns:mc="http://schemas.openxmlformats.org/markup-compatibility/2006">
      <mc:Choice Requires="x14">
        <control shapeId="8193" r:id="rId6" name="back4btn">
          <controlPr defaultSize="0" autoLine="0" r:id="rId7">
            <anchor moveWithCells="1">
              <from>
                <xdr:col>0</xdr:col>
                <xdr:colOff>85725</xdr:colOff>
                <xdr:row>7</xdr:row>
                <xdr:rowOff>85725</xdr:rowOff>
              </from>
              <to>
                <xdr:col>0</xdr:col>
                <xdr:colOff>1552575</xdr:colOff>
                <xdr:row>7</xdr:row>
                <xdr:rowOff>400050</xdr:rowOff>
              </to>
            </anchor>
          </controlPr>
        </control>
      </mc:Choice>
      <mc:Fallback>
        <control shapeId="8193" r:id="rId6" name="back4bt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Personal Information</vt:lpstr>
      <vt:lpstr>Statement Income</vt:lpstr>
      <vt:lpstr>TaxRelief</vt:lpstr>
      <vt:lpstr>Summary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Dell</cp:lastModifiedBy>
  <dcterms:created xsi:type="dcterms:W3CDTF">2021-08-26T05:43:23Z</dcterms:created>
  <dcterms:modified xsi:type="dcterms:W3CDTF">2021-09-01T04:42:08Z</dcterms:modified>
</cp:coreProperties>
</file>