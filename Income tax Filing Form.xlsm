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1.bin" ContentType="application/vnd.ms-office.activeX"/>
  <Override PartName="/xl/activeX/activeX3.xml" ContentType="application/vnd.ms-office.activeX+xml"/>
  <Override PartName="/xl/activeX/activeX2.bin" ContentType="application/vnd.ms-office.activeX"/>
  <Override PartName="/xl/drawings/drawing2.xml" ContentType="application/vnd.openxmlformats-officedocument.drawing+xml"/>
  <Override PartName="/xl/activeX/activeX4.xml" ContentType="application/vnd.ms-office.activeX+xml"/>
  <Override PartName="/xl/activeX/activeX3.bin" ContentType="application/vnd.ms-office.activeX"/>
  <Override PartName="/xl/activeX/activeX5.xml" ContentType="application/vnd.ms-office.activeX+xml"/>
  <Override PartName="/xl/activeX/activeX4.bin" ContentType="application/vnd.ms-office.activeX"/>
  <Override PartName="/xl/activeX/activeX6.xml" ContentType="application/vnd.ms-office.activeX+xml"/>
  <Override PartName="/xl/activeX/activeX5.bin" ContentType="application/vnd.ms-office.activeX"/>
  <Override PartName="/xl/drawings/drawing3.xml" ContentType="application/vnd.openxmlformats-officedocument.drawing+xml"/>
  <Override PartName="/xl/activeX/activeX7.xml" ContentType="application/vnd.ms-office.activeX+xml"/>
  <Override PartName="/xl/activeX/activeX6.bin" ContentType="application/vnd.ms-office.activeX"/>
  <Override PartName="/xl/activeX/activeX8.xml" ContentType="application/vnd.ms-office.activeX+xml"/>
  <Override PartName="/xl/activeX/activeX7.bin" ContentType="application/vnd.ms-office.activeX"/>
  <Override PartName="/xl/activeX/activeX9.xml" ContentType="application/vnd.ms-office.activeX+xml"/>
  <Override PartName="/xl/activeX/activeX8.bin" ContentType="application/vnd.ms-office.activeX"/>
  <Override PartName="/xl/activeX/activeX10.xml" ContentType="application/vnd.ms-office.activeX+xml"/>
  <Override PartName="/xl/activeX/activeX9.bin" ContentType="application/vnd.ms-office.activeX"/>
  <Override PartName="/xl/drawings/drawing4.xml" ContentType="application/vnd.openxmlformats-officedocument.drawing+xml"/>
  <Override PartName="/xl/activeX/activeX11.xml" ContentType="application/vnd.ms-office.activeX+xml"/>
  <Override PartName="/xl/activeX/activeX10.bin" ContentType="application/vnd.ms-office.activeX"/>
  <Override PartName="/xl/activeX/activeX12.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ell\Desktop\RMM3S1\Math Software\"/>
    </mc:Choice>
  </mc:AlternateContent>
  <xr:revisionPtr revIDLastSave="0" documentId="13_ncr:1_{24C668BE-F9A4-435C-B109-C70388C9D51E}" xr6:coauthVersionLast="47" xr6:coauthVersionMax="47" xr10:uidLastSave="{00000000-0000-0000-0000-000000000000}"/>
  <bookViews>
    <workbookView xWindow="-120" yWindow="-120" windowWidth="20730" windowHeight="11160" xr2:uid="{BF359B3B-6803-428B-9AE9-F8394DE00851}"/>
  </bookViews>
  <sheets>
    <sheet name="Personal Information" sheetId="5" r:id="rId1"/>
    <sheet name="Statement Income" sheetId="6" state="hidden" r:id="rId2"/>
    <sheet name="TaxRelief" sheetId="3" state="hidden" r:id="rId3"/>
    <sheet name="Summary" sheetId="4"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6" i="3" l="1"/>
  <c r="D32" i="3"/>
  <c r="D14" i="3"/>
  <c r="D62" i="3" l="1"/>
  <c r="D60" i="3"/>
  <c r="D58" i="3"/>
  <c r="C14" i="6"/>
  <c r="C2" i="6"/>
  <c r="C6" i="6"/>
  <c r="C10" i="6"/>
  <c r="C4" i="6"/>
  <c r="D96" i="3"/>
  <c r="D84" i="3"/>
  <c r="D82" i="3"/>
  <c r="D80" i="3"/>
  <c r="D55" i="3"/>
  <c r="D53" i="3"/>
  <c r="D50" i="3"/>
  <c r="D44" i="3"/>
  <c r="D42" i="3"/>
  <c r="D30" i="3"/>
  <c r="D28" i="3"/>
  <c r="D26" i="3"/>
  <c r="D46" i="3" l="1"/>
  <c r="C8" i="6"/>
  <c r="C12" i="6" s="1"/>
  <c r="C16" i="6" s="1"/>
  <c r="D67" i="3"/>
  <c r="D20" i="3"/>
  <c r="D98" i="3"/>
  <c r="D94" i="3"/>
  <c r="D92" i="3"/>
  <c r="D73" i="3"/>
  <c r="D86" i="3" s="1"/>
  <c r="D6" i="3"/>
  <c r="D2" i="4" l="1"/>
  <c r="D100" i="3"/>
  <c r="D12" i="3"/>
  <c r="D16" i="3" s="1"/>
  <c r="D103" i="3" l="1"/>
  <c r="D3" i="4" s="1"/>
  <c r="D5" i="4" s="1"/>
  <c r="D7" i="4" a="1"/>
  <c r="D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<sst xmlns="http://schemas.openxmlformats.org/spreadsheetml/2006/main" count="147" uniqueCount="112">
  <si>
    <t>Individual Particulars</t>
  </si>
  <si>
    <t>Name</t>
  </si>
  <si>
    <t>Income Tax No</t>
  </si>
  <si>
    <t>Citizen</t>
  </si>
  <si>
    <t>Gender</t>
  </si>
  <si>
    <t>Type of assesment</t>
  </si>
  <si>
    <t>Handphone No. Register to LHDNM</t>
  </si>
  <si>
    <t>Employer's No</t>
  </si>
  <si>
    <t>Name of Bank</t>
  </si>
  <si>
    <t>Statement Income</t>
  </si>
  <si>
    <t>Statutory income from employment</t>
  </si>
  <si>
    <t>Statutory income from rents</t>
  </si>
  <si>
    <t>Statutory income from interest, discount, royalities, premiums, pensions, annuities, other periodical payments and other gains or profit</t>
  </si>
  <si>
    <t>Aggregate Income</t>
  </si>
  <si>
    <t>Approved investment under anget investor tax incentitve</t>
  </si>
  <si>
    <t xml:space="preserve">TOTAL  </t>
  </si>
  <si>
    <t>Less: approved donations / gifts / contributions</t>
  </si>
  <si>
    <t>TOTAL INCOME (SELF)</t>
  </si>
  <si>
    <t>Individual and dependent relatives</t>
  </si>
  <si>
    <t>Basic Supporting equipment for disabled self, spouse, child or parents</t>
  </si>
  <si>
    <t>Disabled individual</t>
  </si>
  <si>
    <t>Medical expenses on serious diseases for self, spouse or child</t>
  </si>
  <si>
    <t>Medical expenses on fertility treatment for self or spouse</t>
  </si>
  <si>
    <t>Complete medical examination for self, spouse or child</t>
  </si>
  <si>
    <t>Summary</t>
  </si>
  <si>
    <t>Total Income</t>
  </si>
  <si>
    <t>Less: Total Relief</t>
  </si>
  <si>
    <t>CHARGABLE INCOME</t>
  </si>
  <si>
    <t>Total Income Tax</t>
  </si>
  <si>
    <t>Child care fees to a registered child care centre / kindergarten for a child aged 6 years and below</t>
  </si>
  <si>
    <t>Husband / wife / payment of alimony to former wife</t>
  </si>
  <si>
    <t>Disabled husband / wife</t>
  </si>
  <si>
    <t>Deferred Annuity and Private Retirement Scheme (PRS)</t>
  </si>
  <si>
    <t>Contribution to the Social Security Organization (SOCSO)</t>
  </si>
  <si>
    <t>Payment for accommodation at premises registered with the Commissioner of Tourism and entrance fee to a tourist attraction</t>
  </si>
  <si>
    <t>OR</t>
  </si>
  <si>
    <t>Parent</t>
  </si>
  <si>
    <t>Medical treatment, special needs and carer expenses for parents</t>
  </si>
  <si>
    <t xml:space="preserve"> (Medical condition certified by medical practitioner)</t>
  </si>
  <si>
    <t>Lifestyle purchase for self, spouse or child in respect of:</t>
  </si>
  <si>
    <t>Lifestyle</t>
  </si>
  <si>
    <t>Purchase of breastfeeding equipment for own use for a child aged 2 years and below</t>
  </si>
  <si>
    <t>i. receiving further education in Malaysia in respect of an award of diploma or higher (excluding matriculation/ preparatory courses).</t>
  </si>
  <si>
    <t>ii. receiving further education outside Malaysia in respect of an award of degree or its equivalent (including Master or Doctorate).</t>
  </si>
  <si>
    <t>iii. the instruction and educational establishment shall be approved by the relevant government authority.</t>
  </si>
  <si>
    <t>i. Other than a degree at masters or doctorate level - Course of study in law, accounting, islamic financing, technical, vocational, industrial, scientific or technology</t>
  </si>
  <si>
    <t>ii. Degree at masters or doctorate level - Any course of study</t>
  </si>
  <si>
    <t>Additional exemption of RM8,000 disable child age 18 years old and above, not married and pursuing diplomas or above qualification in Malaysia @ bachelor degree or above outside Malaysia in program and in Higher Education Institute that is accredited by related Government authorities</t>
  </si>
  <si>
    <t>Education</t>
  </si>
  <si>
    <t>Medical</t>
  </si>
  <si>
    <t>Parenthood</t>
  </si>
  <si>
    <t>Insurance &amp; Investment</t>
  </si>
  <si>
    <t>For Disabled Person</t>
  </si>
  <si>
    <t>Net deposit in Skim Simpanan Pendidikan Nasional</t>
  </si>
  <si>
    <t>(Total deposit in 2020 MINUS total withdrawal in 2020)</t>
  </si>
  <si>
    <t>(Deduction allowed once in every 2 years of assessment)</t>
  </si>
  <si>
    <t>a.</t>
  </si>
  <si>
    <t>b.</t>
  </si>
  <si>
    <t>c.</t>
  </si>
  <si>
    <t>d.</t>
  </si>
  <si>
    <t>e.</t>
  </si>
  <si>
    <t>f.</t>
  </si>
  <si>
    <t>Input</t>
  </si>
  <si>
    <t>* Number of Individual claim for this deduction</t>
  </si>
  <si>
    <t>i. Purchase of books / journals / magazines / printed newspapers / other similar publications (Not  banned reading materials)
purchase of personal computer, smartphone or tablet (Not for business use)</t>
  </si>
  <si>
    <t>ii.  Purchase of sports equipment for sports activity defined under the Sports Development Act 1997 and payment of gym membership</t>
  </si>
  <si>
    <t>iii. Payment of monthly bill for internet subscription (Under own name)</t>
  </si>
  <si>
    <t>ii) OTHER than pensionable public servant category</t>
  </si>
  <si>
    <t xml:space="preserve">     - Life insurance premium (Restricted to RM3,000)</t>
  </si>
  <si>
    <t xml:space="preserve">     - Contribution to EPF / approved scheme (Restricted to RM4,000)</t>
  </si>
  <si>
    <t xml:space="preserve">i) Pensionable public servant category
</t>
  </si>
  <si>
    <t xml:space="preserve">     - Life insurance premium</t>
  </si>
  <si>
    <t>Total</t>
  </si>
  <si>
    <t>Tax Relief</t>
  </si>
  <si>
    <r>
      <t>Life insurance and EPF </t>
    </r>
    <r>
      <rPr>
        <b/>
        <sz val="16"/>
        <color rgb="FF000000"/>
        <rFont val="Times New Roman"/>
        <family val="1"/>
      </rPr>
      <t>INCLUDING</t>
    </r>
    <r>
      <rPr>
        <sz val="16"/>
        <color rgb="FF000000"/>
        <rFont val="Times New Roman"/>
        <family val="1"/>
      </rPr>
      <t> not through salary deduction</t>
    </r>
  </si>
  <si>
    <r>
      <t>Education and medical insurance (</t>
    </r>
    <r>
      <rPr>
        <b/>
        <sz val="16"/>
        <color rgb="FF000000"/>
        <rFont val="Times New Roman"/>
        <family val="1"/>
      </rPr>
      <t>INCLUDING</t>
    </r>
    <r>
      <rPr>
        <sz val="16"/>
        <color rgb="FF000000"/>
        <rFont val="Times New Roman"/>
        <family val="1"/>
      </rPr>
      <t> not through salary deduction)</t>
    </r>
  </si>
  <si>
    <t>---Select---</t>
  </si>
  <si>
    <t>Details of Bank</t>
  </si>
  <si>
    <t/>
  </si>
  <si>
    <t>Sub Total</t>
  </si>
  <si>
    <t>Education fees (Self)</t>
  </si>
  <si>
    <t xml:space="preserve">Sub Total </t>
  </si>
  <si>
    <t>Additional deduction</t>
  </si>
  <si>
    <t>Number of unmarried child and under the age of 18 years old</t>
  </si>
  <si>
    <t>Total Tax Relief</t>
  </si>
  <si>
    <t>g.</t>
  </si>
  <si>
    <t>j.</t>
  </si>
  <si>
    <t>k.</t>
  </si>
  <si>
    <t>m.</t>
  </si>
  <si>
    <t>Identification Number</t>
  </si>
  <si>
    <t>Date Of Birth</t>
  </si>
  <si>
    <t>Telephone No</t>
  </si>
  <si>
    <t>Email</t>
  </si>
  <si>
    <t>Disposal of Asset</t>
  </si>
  <si>
    <t>Bank Account</t>
  </si>
  <si>
    <t>*a.</t>
  </si>
  <si>
    <t>*b.</t>
  </si>
  <si>
    <t>*c.</t>
  </si>
  <si>
    <t>*h.</t>
  </si>
  <si>
    <t>*i.</t>
  </si>
  <si>
    <t>*l.</t>
  </si>
  <si>
    <t>*n.</t>
  </si>
  <si>
    <t>*o.</t>
  </si>
  <si>
    <t>!!! MUST FILL IN THE SPACE THAT CONTAIN "*" LABEL</t>
  </si>
  <si>
    <t>* If want to exit from viewing report, can direclty close the worksheets. Thank You.</t>
  </si>
  <si>
    <t>Number unmarried child of 18 years and above who is receiving full-time education ("A-Level", certificate, matriculation or preparatory courses).</t>
  </si>
  <si>
    <t>Number unmarried child of 18 years and above that</t>
  </si>
  <si>
    <t>Number of disabled child</t>
  </si>
  <si>
    <t>Purchase of personal computer, smartphone or tablet for self, spouse or child and not for business use (Valid to purchase made within the period of 1st June 2020 to 31st December 2020)</t>
  </si>
  <si>
    <t>Self, Parents &amp; Spouse</t>
  </si>
  <si>
    <t>Marital Status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</si>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</sst>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00000"/>
    <numFmt numFmtId="165" formatCode="0."/>
    <numFmt numFmtId="166" formatCode="#."/>
  </numFmts>
  <fonts count="12" x14ac:knownFonts="1">
    <font>
      <sz val="11"/>
      <color theme="1"/>
      <name val="Calibri"/>
      <family val="2"/>
      <scheme val="minor"/>
    </font>
    <font>
      <sz val="11"/>
      <color theme="1"/>
      <name val="Calibri"/>
      <family val="2"/>
      <scheme val="minor"/>
    </font>
    <font>
      <sz val="16"/>
      <color theme="1"/>
      <name val="Times New Roman"/>
      <family val="1"/>
    </font>
    <font>
      <b/>
      <sz val="16"/>
      <color theme="1"/>
      <name val="Times New Roman"/>
      <family val="1"/>
    </font>
    <font>
      <b/>
      <u/>
      <sz val="16"/>
      <color theme="1"/>
      <name val="Times New Roman"/>
      <family val="1"/>
    </font>
    <font>
      <sz val="16"/>
      <name val="Times New Roman"/>
      <family val="1"/>
    </font>
    <font>
      <sz val="16"/>
      <color rgb="FF000000"/>
      <name val="Times New Roman"/>
      <family val="1"/>
    </font>
    <font>
      <b/>
      <sz val="16"/>
      <color rgb="FF000000"/>
      <name val="Times New Roman"/>
      <family val="1"/>
    </font>
    <font>
      <sz val="16"/>
      <color theme="1"/>
      <name val="Calibri"/>
      <family val="2"/>
      <scheme val="minor"/>
    </font>
    <font>
      <b/>
      <u/>
      <sz val="18"/>
      <color theme="1"/>
      <name val="Times New Roman"/>
      <family val="1"/>
    </font>
    <font>
      <sz val="16"/>
      <color rgb="FFFF0000"/>
      <name val="Times New Roman"/>
      <family val="1"/>
    </font>
    <font>
      <sz val="16"/>
      <color rgb="FFFF0000"/>
      <name val="Calibri"/>
      <family val="2"/>
      <scheme val="minor"/>
    </font>
  </fonts>
  <fills count="5">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16">
    <border>
      <left/>
      <right/>
      <top/>
      <bottom/>
      <diagonal/>
    </border>
    <border>
      <left/>
      <right style="thin">
        <color theme="7"/>
      </right>
      <top/>
      <bottom/>
      <diagonal/>
    </border>
    <border>
      <left style="thin">
        <color theme="7"/>
      </left>
      <right style="thin">
        <color theme="7"/>
      </right>
      <top/>
      <bottom/>
      <diagonal/>
    </border>
    <border>
      <left/>
      <right/>
      <top/>
      <bottom style="thin">
        <color theme="7"/>
      </bottom>
      <diagonal/>
    </border>
    <border>
      <left/>
      <right style="thin">
        <color theme="7"/>
      </right>
      <top/>
      <bottom style="thin">
        <color theme="7"/>
      </bottom>
      <diagonal/>
    </border>
    <border>
      <left style="thin">
        <color theme="7"/>
      </left>
      <right style="thin">
        <color theme="7"/>
      </right>
      <top/>
      <bottom style="thin">
        <color theme="7"/>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right/>
      <top style="thin">
        <color theme="7"/>
      </top>
      <bottom style="thin">
        <color theme="7"/>
      </bottom>
      <diagonal/>
    </border>
    <border>
      <left/>
      <right style="thin">
        <color theme="7"/>
      </right>
      <top style="thin">
        <color theme="7"/>
      </top>
      <bottom/>
      <diagonal/>
    </border>
    <border>
      <left style="thin">
        <color theme="7"/>
      </left>
      <right/>
      <top/>
      <bottom style="thin">
        <color theme="7"/>
      </bottom>
      <diagonal/>
    </border>
    <border>
      <left/>
      <right style="medium">
        <color theme="7"/>
      </right>
      <top/>
      <bottom/>
      <diagonal/>
    </border>
    <border>
      <left style="medium">
        <color theme="7"/>
      </left>
      <right style="medium">
        <color theme="7"/>
      </right>
      <top/>
      <bottom/>
      <diagonal/>
    </border>
    <border>
      <left style="medium">
        <color theme="7"/>
      </left>
      <right/>
      <top/>
      <bottom style="medium">
        <color theme="7"/>
      </bottom>
      <diagonal/>
    </border>
    <border>
      <left/>
      <right/>
      <top/>
      <bottom style="medium">
        <color theme="7"/>
      </bottom>
      <diagonal/>
    </border>
    <border>
      <left style="thin">
        <color theme="7"/>
      </left>
      <right/>
      <top style="thin">
        <color theme="7"/>
      </top>
      <bottom style="double">
        <color theme="7"/>
      </bottom>
      <diagonal/>
    </border>
  </borders>
  <cellStyleXfs count="2">
    <xf numFmtId="0" fontId="0" fillId="0" borderId="0"/>
    <xf numFmtId="43" fontId="1" fillId="0" borderId="0" applyFont="0" applyFill="0" applyBorder="0" applyAlignment="0" applyProtection="0"/>
  </cellStyleXfs>
  <cellXfs count="212">
    <xf numFmtId="0" fontId="0" fillId="0" borderId="0" xfId="0"/>
    <xf numFmtId="0" fontId="2" fillId="0" borderId="0" xfId="0" applyFont="1"/>
    <xf numFmtId="0" fontId="2" fillId="0" borderId="0" xfId="0" applyNumberFormat="1" applyFont="1" applyFill="1" applyAlignment="1" applyProtection="1">
      <alignment horizontal="left"/>
    </xf>
    <xf numFmtId="0" fontId="2" fillId="0" borderId="0" xfId="0" applyFont="1" applyAlignment="1" applyProtection="1">
      <alignment vertical="center"/>
      <protection hidden="1"/>
    </xf>
    <xf numFmtId="43" fontId="2" fillId="0" borderId="0" xfId="1" applyFont="1" applyFill="1" applyProtection="1">
      <protection hidden="1"/>
    </xf>
    <xf numFmtId="0" fontId="8" fillId="0" borderId="0" xfId="0" applyFont="1"/>
    <xf numFmtId="43" fontId="2" fillId="3" borderId="0" xfId="1" applyFont="1" applyFill="1" applyBorder="1" applyProtection="1">
      <protection hidden="1"/>
    </xf>
    <xf numFmtId="43" fontId="2" fillId="2" borderId="0" xfId="1" applyFont="1" applyFill="1" applyBorder="1" applyProtection="1">
      <protection hidden="1"/>
    </xf>
    <xf numFmtId="43" fontId="2" fillId="4" borderId="0" xfId="1" applyFont="1" applyFill="1" applyBorder="1" applyProtection="1">
      <protection hidden="1"/>
    </xf>
    <xf numFmtId="43" fontId="2" fillId="3" borderId="2" xfId="1" applyFont="1" applyFill="1" applyBorder="1" applyProtection="1">
      <protection hidden="1"/>
    </xf>
    <xf numFmtId="1" fontId="6" fillId="4" borderId="2" xfId="1" quotePrefix="1" applyNumberFormat="1" applyFont="1" applyFill="1" applyBorder="1" applyProtection="1">
      <protection locked="0" hidden="1"/>
    </xf>
    <xf numFmtId="0" fontId="6" fillId="4" borderId="2" xfId="1" quotePrefix="1" applyNumberFormat="1" applyFont="1" applyFill="1" applyBorder="1" applyAlignment="1" applyProtection="1">
      <alignment wrapText="1"/>
      <protection locked="0" hidden="1"/>
    </xf>
    <xf numFmtId="43" fontId="2" fillId="0" borderId="0" xfId="1" applyFont="1" applyFill="1" applyBorder="1" applyProtection="1">
      <protection hidden="1"/>
    </xf>
    <xf numFmtId="43" fontId="2" fillId="0" borderId="0" xfId="1" applyFont="1" applyProtection="1">
      <protection hidden="1"/>
    </xf>
    <xf numFmtId="0" fontId="2" fillId="0" borderId="0" xfId="0" applyFont="1" applyProtection="1">
      <protection hidden="1"/>
    </xf>
    <xf numFmtId="0" fontId="4" fillId="0" borderId="0" xfId="0" applyFont="1" applyFill="1" applyBorder="1" applyAlignment="1" applyProtection="1">
      <alignment horizontal="left" vertical="center"/>
      <protection hidden="1"/>
    </xf>
    <xf numFmtId="0" fontId="2" fillId="0" borderId="0" xfId="0" applyFont="1" applyFill="1" applyProtection="1">
      <protection hidden="1"/>
    </xf>
    <xf numFmtId="165" fontId="3" fillId="2" borderId="0" xfId="0" applyNumberFormat="1" applyFont="1" applyFill="1" applyBorder="1" applyAlignment="1" applyProtection="1">
      <alignment horizontal="left"/>
      <protection hidden="1"/>
    </xf>
    <xf numFmtId="0" fontId="3" fillId="2" borderId="1" xfId="0" applyFont="1" applyFill="1" applyBorder="1" applyProtection="1">
      <protection hidden="1"/>
    </xf>
    <xf numFmtId="43" fontId="3" fillId="2" borderId="2" xfId="1" applyFont="1" applyFill="1" applyBorder="1" applyProtection="1">
      <protection hidden="1"/>
    </xf>
    <xf numFmtId="165" fontId="3" fillId="3" borderId="0" xfId="0" applyNumberFormat="1" applyFont="1" applyFill="1" applyBorder="1" applyAlignment="1" applyProtection="1">
      <alignment horizontal="left"/>
      <protection hidden="1"/>
    </xf>
    <xf numFmtId="0" fontId="2" fillId="3" borderId="1" xfId="0" applyFont="1" applyFill="1" applyBorder="1" applyProtection="1">
      <protection hidden="1"/>
    </xf>
    <xf numFmtId="165" fontId="3" fillId="3" borderId="0" xfId="0" applyNumberFormat="1" applyFont="1" applyFill="1" applyBorder="1" applyAlignment="1" applyProtection="1">
      <alignment vertical="top"/>
      <protection hidden="1"/>
    </xf>
    <xf numFmtId="0" fontId="6" fillId="3" borderId="1" xfId="0" applyFont="1" applyFill="1" applyBorder="1" applyProtection="1">
      <protection hidden="1"/>
    </xf>
    <xf numFmtId="43" fontId="2" fillId="3" borderId="2" xfId="1" applyFont="1" applyFill="1" applyBorder="1" applyAlignment="1" applyProtection="1">
      <protection hidden="1"/>
    </xf>
    <xf numFmtId="43" fontId="2" fillId="3" borderId="0" xfId="1" applyFont="1" applyFill="1" applyBorder="1" applyAlignment="1" applyProtection="1">
      <protection hidden="1"/>
    </xf>
    <xf numFmtId="0" fontId="2" fillId="3" borderId="1" xfId="0" applyFont="1" applyFill="1" applyBorder="1" applyAlignment="1" applyProtection="1">
      <protection hidden="1"/>
    </xf>
    <xf numFmtId="0" fontId="7" fillId="3" borderId="1" xfId="0" applyFont="1" applyFill="1" applyBorder="1" applyProtection="1">
      <protection hidden="1"/>
    </xf>
    <xf numFmtId="0" fontId="6" fillId="3" borderId="1" xfId="0" applyFont="1" applyFill="1" applyBorder="1" applyAlignment="1" applyProtection="1">
      <protection hidden="1"/>
    </xf>
    <xf numFmtId="0" fontId="6" fillId="3" borderId="2" xfId="0" applyFont="1" applyFill="1" applyBorder="1" applyAlignment="1" applyProtection="1">
      <protection hidden="1"/>
    </xf>
    <xf numFmtId="0" fontId="6" fillId="3" borderId="0" xfId="0" applyFont="1" applyFill="1" applyBorder="1" applyAlignment="1" applyProtection="1">
      <protection hidden="1"/>
    </xf>
    <xf numFmtId="165" fontId="3" fillId="3" borderId="3" xfId="0" applyNumberFormat="1" applyFont="1" applyFill="1" applyBorder="1" applyAlignment="1" applyProtection="1">
      <alignment horizontal="left"/>
      <protection hidden="1"/>
    </xf>
    <xf numFmtId="0" fontId="6" fillId="3" borderId="4" xfId="0" applyFont="1" applyFill="1" applyBorder="1" applyProtection="1">
      <protection hidden="1"/>
    </xf>
    <xf numFmtId="0" fontId="2" fillId="0" borderId="0" xfId="0" applyFont="1" applyBorder="1" applyProtection="1">
      <protection hidden="1"/>
    </xf>
    <xf numFmtId="165" fontId="3" fillId="0" borderId="0" xfId="0" applyNumberFormat="1" applyFont="1" applyAlignment="1" applyProtection="1">
      <alignment horizontal="left"/>
      <protection hidden="1"/>
    </xf>
    <xf numFmtId="165" fontId="3" fillId="2" borderId="0" xfId="0" applyNumberFormat="1" applyFont="1" applyFill="1" applyAlignment="1" applyProtection="1">
      <alignment horizontal="left"/>
      <protection hidden="1"/>
    </xf>
    <xf numFmtId="165" fontId="3" fillId="3" borderId="0" xfId="0" applyNumberFormat="1" applyFont="1" applyFill="1" applyAlignment="1" applyProtection="1">
      <alignment horizontal="left"/>
      <protection hidden="1"/>
    </xf>
    <xf numFmtId="0" fontId="6" fillId="3" borderId="1" xfId="0" applyFont="1" applyFill="1" applyBorder="1" applyAlignment="1" applyProtection="1">
      <alignment horizontal="left" vertical="center" wrapText="1" indent="1"/>
      <protection hidden="1"/>
    </xf>
    <xf numFmtId="43" fontId="6" fillId="3" borderId="2" xfId="1" applyFont="1" applyFill="1" applyBorder="1" applyAlignment="1" applyProtection="1">
      <alignment horizontal="left" vertical="center" wrapText="1" indent="1"/>
      <protection hidden="1"/>
    </xf>
    <xf numFmtId="165" fontId="3" fillId="0" borderId="0" xfId="0" applyNumberFormat="1" applyFont="1" applyFill="1" applyAlignment="1" applyProtection="1">
      <alignment horizontal="left"/>
      <protection hidden="1"/>
    </xf>
    <xf numFmtId="0" fontId="6" fillId="0" borderId="0" xfId="0" applyFont="1" applyFill="1" applyBorder="1" applyAlignment="1" applyProtection="1">
      <alignment horizontal="left" vertical="center" wrapText="1" indent="1"/>
      <protection hidden="1"/>
    </xf>
    <xf numFmtId="43" fontId="6" fillId="0" borderId="0" xfId="1" applyFont="1" applyFill="1" applyBorder="1" applyAlignment="1" applyProtection="1">
      <alignment horizontal="left" vertical="center" wrapText="1" indent="1"/>
      <protection hidden="1"/>
    </xf>
    <xf numFmtId="43" fontId="3" fillId="2" borderId="1" xfId="1" applyFont="1" applyFill="1" applyBorder="1" applyProtection="1">
      <protection hidden="1"/>
    </xf>
    <xf numFmtId="43" fontId="2" fillId="2" borderId="0" xfId="1" applyFont="1" applyFill="1" applyProtection="1">
      <protection hidden="1"/>
    </xf>
    <xf numFmtId="43" fontId="2" fillId="4" borderId="0" xfId="1" applyFont="1" applyFill="1" applyProtection="1">
      <protection hidden="1"/>
    </xf>
    <xf numFmtId="43" fontId="2" fillId="3" borderId="1" xfId="1" applyFont="1" applyFill="1" applyBorder="1" applyProtection="1">
      <protection hidden="1"/>
    </xf>
    <xf numFmtId="43" fontId="2" fillId="3" borderId="0" xfId="1" applyFont="1" applyFill="1" applyProtection="1">
      <protection hidden="1"/>
    </xf>
    <xf numFmtId="0" fontId="2" fillId="3" borderId="4" xfId="0" applyFont="1" applyFill="1" applyBorder="1" applyProtection="1">
      <protection hidden="1"/>
    </xf>
    <xf numFmtId="43" fontId="2" fillId="3" borderId="4" xfId="1" applyFont="1" applyFill="1" applyBorder="1" applyProtection="1">
      <protection hidden="1"/>
    </xf>
    <xf numFmtId="43" fontId="2" fillId="3" borderId="3" xfId="1" applyFont="1" applyFill="1" applyBorder="1" applyProtection="1">
      <protection hidden="1"/>
    </xf>
    <xf numFmtId="165" fontId="3" fillId="0" borderId="0" xfId="0" applyNumberFormat="1" applyFont="1" applyFill="1" applyBorder="1" applyAlignment="1" applyProtection="1">
      <alignment horizontal="left"/>
      <protection hidden="1"/>
    </xf>
    <xf numFmtId="0" fontId="3" fillId="0" borderId="0" xfId="0" applyFont="1" applyFill="1" applyBorder="1" applyProtection="1">
      <protection hidden="1"/>
    </xf>
    <xf numFmtId="0" fontId="2" fillId="0" borderId="0" xfId="0" applyFont="1" applyFill="1" applyBorder="1" applyProtection="1">
      <protection hidden="1"/>
    </xf>
    <xf numFmtId="43" fontId="3" fillId="2" borderId="0" xfId="1" applyFont="1" applyFill="1" applyProtection="1">
      <protection hidden="1"/>
    </xf>
    <xf numFmtId="43" fontId="6" fillId="3" borderId="0" xfId="1" applyFont="1" applyFill="1" applyAlignment="1" applyProtection="1">
      <alignment horizontal="left" vertical="center" wrapText="1" indent="1"/>
      <protection hidden="1"/>
    </xf>
    <xf numFmtId="0" fontId="6" fillId="3" borderId="1" xfId="0" applyFont="1" applyFill="1" applyBorder="1" applyAlignment="1" applyProtection="1">
      <alignment horizontal="left" vertical="top" wrapText="1" indent="1"/>
      <protection hidden="1"/>
    </xf>
    <xf numFmtId="43" fontId="6" fillId="3" borderId="2" xfId="1" applyFont="1" applyFill="1" applyBorder="1" applyAlignment="1" applyProtection="1">
      <alignment horizontal="left" vertical="top" wrapText="1" indent="1"/>
      <protection hidden="1"/>
    </xf>
    <xf numFmtId="43" fontId="6" fillId="3" borderId="0" xfId="1" applyFont="1" applyFill="1" applyAlignment="1" applyProtection="1">
      <alignment horizontal="left" vertical="top" wrapText="1" indent="1"/>
      <protection hidden="1"/>
    </xf>
    <xf numFmtId="0" fontId="2" fillId="3" borderId="1" xfId="0" applyFont="1" applyFill="1" applyBorder="1" applyAlignment="1" applyProtection="1">
      <alignment vertical="top" wrapText="1"/>
      <protection hidden="1"/>
    </xf>
    <xf numFmtId="165" fontId="3" fillId="3" borderId="0" xfId="0" applyNumberFormat="1" applyFont="1" applyFill="1" applyAlignment="1" applyProtection="1">
      <alignment horizontal="left" vertical="top"/>
      <protection hidden="1"/>
    </xf>
    <xf numFmtId="0" fontId="6" fillId="3" borderId="1" xfId="0" applyFont="1" applyFill="1" applyBorder="1" applyAlignment="1" applyProtection="1">
      <alignment vertical="top" wrapText="1"/>
      <protection hidden="1"/>
    </xf>
    <xf numFmtId="43" fontId="6" fillId="4" borderId="0" xfId="1" applyFont="1" applyFill="1" applyAlignment="1" applyProtection="1">
      <alignment vertical="top" wrapText="1"/>
      <protection hidden="1"/>
    </xf>
    <xf numFmtId="165" fontId="3" fillId="3" borderId="3" xfId="0" applyNumberFormat="1" applyFont="1" applyFill="1" applyBorder="1" applyAlignment="1" applyProtection="1">
      <alignment horizontal="left" vertical="top"/>
      <protection hidden="1"/>
    </xf>
    <xf numFmtId="0" fontId="6" fillId="3" borderId="4" xfId="0" applyFont="1" applyFill="1" applyBorder="1" applyAlignment="1" applyProtection="1">
      <alignment vertical="top" wrapText="1"/>
      <protection hidden="1"/>
    </xf>
    <xf numFmtId="43" fontId="6" fillId="3" borderId="5" xfId="1" applyFont="1" applyFill="1" applyBorder="1" applyAlignment="1" applyProtection="1">
      <alignment vertical="top" wrapText="1"/>
      <protection hidden="1"/>
    </xf>
    <xf numFmtId="43" fontId="6" fillId="3" borderId="3" xfId="1" applyFont="1" applyFill="1" applyBorder="1" applyAlignment="1" applyProtection="1">
      <alignment vertical="top" wrapText="1"/>
      <protection hidden="1"/>
    </xf>
    <xf numFmtId="165" fontId="3" fillId="0" borderId="0" xfId="0" applyNumberFormat="1" applyFont="1" applyFill="1" applyBorder="1" applyAlignment="1" applyProtection="1">
      <alignment horizontal="left" vertical="top"/>
      <protection hidden="1"/>
    </xf>
    <xf numFmtId="0" fontId="7" fillId="0" borderId="0" xfId="0" applyFont="1" applyFill="1" applyBorder="1" applyAlignment="1" applyProtection="1">
      <alignment vertical="top" wrapText="1"/>
      <protection hidden="1"/>
    </xf>
    <xf numFmtId="43" fontId="6" fillId="0" borderId="0" xfId="1" applyFont="1" applyFill="1" applyBorder="1" applyAlignment="1" applyProtection="1">
      <alignment vertical="top" wrapText="1"/>
      <protection hidden="1"/>
    </xf>
    <xf numFmtId="0" fontId="2" fillId="3" borderId="1" xfId="0" applyFont="1" applyFill="1" applyBorder="1" applyAlignment="1" applyProtection="1">
      <alignment wrapText="1"/>
      <protection hidden="1"/>
    </xf>
    <xf numFmtId="43" fontId="2" fillId="4" borderId="0" xfId="1" applyFont="1" applyFill="1" applyAlignment="1" applyProtection="1">
      <alignment wrapText="1"/>
      <protection hidden="1"/>
    </xf>
    <xf numFmtId="43" fontId="2" fillId="3" borderId="2" xfId="1" applyFont="1" applyFill="1" applyBorder="1" applyAlignment="1" applyProtection="1">
      <alignment vertical="top" wrapText="1"/>
      <protection hidden="1"/>
    </xf>
    <xf numFmtId="43" fontId="2" fillId="3" borderId="0" xfId="1" applyFont="1" applyFill="1" applyAlignment="1" applyProtection="1">
      <alignment vertical="top" wrapText="1"/>
      <protection hidden="1"/>
    </xf>
    <xf numFmtId="0" fontId="6" fillId="3" borderId="1" xfId="0" applyFont="1" applyFill="1" applyBorder="1" applyAlignment="1" applyProtection="1">
      <alignment horizontal="left" wrapText="1"/>
      <protection hidden="1"/>
    </xf>
    <xf numFmtId="43" fontId="6" fillId="4" borderId="0" xfId="1" applyFont="1" applyFill="1" applyAlignment="1" applyProtection="1">
      <alignment horizontal="left"/>
      <protection hidden="1"/>
    </xf>
    <xf numFmtId="43" fontId="6" fillId="4" borderId="0" xfId="1" applyFont="1" applyFill="1" applyAlignment="1" applyProtection="1">
      <protection hidden="1"/>
    </xf>
    <xf numFmtId="43" fontId="6" fillId="3" borderId="2" xfId="1" applyFont="1" applyFill="1" applyBorder="1" applyAlignment="1" applyProtection="1">
      <protection hidden="1"/>
    </xf>
    <xf numFmtId="43" fontId="6" fillId="3" borderId="0" xfId="1" applyFont="1" applyFill="1" applyAlignment="1" applyProtection="1">
      <protection hidden="1"/>
    </xf>
    <xf numFmtId="43" fontId="6" fillId="4" borderId="0" xfId="1" applyFont="1" applyFill="1" applyProtection="1">
      <protection hidden="1"/>
    </xf>
    <xf numFmtId="43" fontId="2" fillId="3" borderId="2" xfId="1" applyFont="1" applyFill="1" applyBorder="1" applyAlignment="1" applyProtection="1">
      <alignment wrapText="1"/>
      <protection hidden="1"/>
    </xf>
    <xf numFmtId="43" fontId="2" fillId="3" borderId="0" xfId="1" applyFont="1" applyFill="1" applyAlignment="1" applyProtection="1">
      <alignment wrapText="1"/>
      <protection hidden="1"/>
    </xf>
    <xf numFmtId="0" fontId="6" fillId="3" borderId="4" xfId="0" applyFont="1" applyFill="1" applyBorder="1" applyAlignment="1" applyProtection="1">
      <alignment horizontal="left" vertical="center" wrapText="1" indent="1"/>
      <protection hidden="1"/>
    </xf>
    <xf numFmtId="43" fontId="6" fillId="3" borderId="5" xfId="1" applyFont="1" applyFill="1" applyBorder="1" applyAlignment="1" applyProtection="1">
      <alignment horizontal="left" vertical="center" wrapText="1" indent="1"/>
      <protection hidden="1"/>
    </xf>
    <xf numFmtId="43" fontId="6" fillId="3" borderId="3" xfId="1" applyFont="1" applyFill="1" applyBorder="1" applyAlignment="1" applyProtection="1">
      <alignment horizontal="left" vertical="center" wrapText="1" indent="1"/>
      <protection hidden="1"/>
    </xf>
    <xf numFmtId="0" fontId="7" fillId="0" borderId="0" xfId="0" applyFont="1" applyFill="1" applyBorder="1" applyAlignment="1" applyProtection="1">
      <alignment horizontal="left" vertical="center" wrapText="1" indent="1"/>
      <protection hidden="1"/>
    </xf>
    <xf numFmtId="43" fontId="6" fillId="0" borderId="0" xfId="1" applyFont="1" applyFill="1" applyAlignment="1" applyProtection="1">
      <alignment horizontal="left" vertical="center" wrapText="1" indent="1"/>
      <protection hidden="1"/>
    </xf>
    <xf numFmtId="0" fontId="7" fillId="2" borderId="1" xfId="0" applyFont="1" applyFill="1" applyBorder="1" applyAlignment="1" applyProtection="1">
      <alignment horizontal="left" vertical="center" wrapText="1" indent="1"/>
      <protection hidden="1"/>
    </xf>
    <xf numFmtId="43" fontId="7" fillId="2" borderId="2" xfId="1" applyFont="1" applyFill="1" applyBorder="1" applyAlignment="1" applyProtection="1">
      <alignment horizontal="left" vertical="center" wrapText="1" indent="1"/>
      <protection hidden="1"/>
    </xf>
    <xf numFmtId="43" fontId="7" fillId="2" borderId="0" xfId="1" applyFont="1" applyFill="1" applyAlignment="1" applyProtection="1">
      <alignment horizontal="left" vertical="center" wrapText="1" indent="1"/>
      <protection hidden="1"/>
    </xf>
    <xf numFmtId="43" fontId="6" fillId="3" borderId="2" xfId="1" applyFont="1" applyFill="1" applyBorder="1" applyProtection="1">
      <protection hidden="1"/>
    </xf>
    <xf numFmtId="43" fontId="6" fillId="3" borderId="0" xfId="1" applyFont="1" applyFill="1" applyProtection="1">
      <protection hidden="1"/>
    </xf>
    <xf numFmtId="43" fontId="2" fillId="0" borderId="0" xfId="0" applyNumberFormat="1" applyFont="1" applyProtection="1">
      <protection hidden="1"/>
    </xf>
    <xf numFmtId="43" fontId="6" fillId="3" borderId="5" xfId="1" applyFont="1" applyFill="1" applyBorder="1" applyProtection="1">
      <protection hidden="1"/>
    </xf>
    <xf numFmtId="43" fontId="6" fillId="3" borderId="3" xfId="1" applyFont="1" applyFill="1" applyBorder="1" applyProtection="1">
      <protection hidden="1"/>
    </xf>
    <xf numFmtId="0" fontId="7" fillId="0" borderId="0" xfId="0" applyFont="1" applyFill="1" applyBorder="1" applyProtection="1">
      <protection hidden="1"/>
    </xf>
    <xf numFmtId="43" fontId="6" fillId="0" borderId="0" xfId="1" applyFont="1" applyFill="1" applyBorder="1" applyProtection="1">
      <protection hidden="1"/>
    </xf>
    <xf numFmtId="43" fontId="6" fillId="0" borderId="0" xfId="1" applyFont="1" applyFill="1" applyProtection="1">
      <protection hidden="1"/>
    </xf>
    <xf numFmtId="0" fontId="6" fillId="3" borderId="1" xfId="0" applyFont="1" applyFill="1" applyBorder="1" applyAlignment="1" applyProtection="1">
      <alignment wrapText="1"/>
      <protection hidden="1"/>
    </xf>
    <xf numFmtId="43" fontId="6" fillId="4" borderId="0" xfId="1" applyFont="1" applyFill="1" applyAlignment="1" applyProtection="1">
      <alignment wrapText="1"/>
      <protection hidden="1"/>
    </xf>
    <xf numFmtId="0" fontId="6" fillId="3" borderId="4" xfId="0" applyFont="1" applyFill="1" applyBorder="1" applyAlignment="1" applyProtection="1">
      <alignment wrapText="1"/>
      <protection hidden="1"/>
    </xf>
    <xf numFmtId="0" fontId="6" fillId="3" borderId="5" xfId="1" quotePrefix="1" applyNumberFormat="1" applyFont="1" applyFill="1" applyBorder="1" applyAlignment="1" applyProtection="1">
      <alignment wrapText="1"/>
      <protection hidden="1"/>
    </xf>
    <xf numFmtId="43" fontId="6" fillId="3" borderId="3" xfId="1" applyFont="1" applyFill="1" applyBorder="1" applyAlignment="1" applyProtection="1">
      <alignment wrapText="1"/>
      <protection hidden="1"/>
    </xf>
    <xf numFmtId="165" fontId="3" fillId="0" borderId="0" xfId="0" applyNumberFormat="1" applyFont="1" applyFill="1" applyAlignment="1" applyProtection="1">
      <alignment horizontal="left" vertical="top"/>
      <protection hidden="1"/>
    </xf>
    <xf numFmtId="0" fontId="7" fillId="0" borderId="0" xfId="0" applyFont="1" applyFill="1" applyBorder="1" applyAlignment="1" applyProtection="1">
      <alignment wrapText="1"/>
      <protection hidden="1"/>
    </xf>
    <xf numFmtId="0" fontId="6" fillId="0" borderId="0" xfId="1" quotePrefix="1" applyNumberFormat="1" applyFont="1" applyFill="1" applyBorder="1" applyAlignment="1" applyProtection="1">
      <alignment wrapText="1"/>
      <protection hidden="1"/>
    </xf>
    <xf numFmtId="43" fontId="6" fillId="0" borderId="0" xfId="1" applyFont="1" applyFill="1" applyAlignment="1" applyProtection="1">
      <alignment wrapText="1"/>
      <protection hidden="1"/>
    </xf>
    <xf numFmtId="0" fontId="6" fillId="3" borderId="0" xfId="0" applyFont="1" applyFill="1" applyBorder="1" applyProtection="1">
      <protection hidden="1"/>
    </xf>
    <xf numFmtId="0" fontId="2" fillId="0" borderId="0" xfId="0" applyFont="1" applyFill="1" applyProtection="1"/>
    <xf numFmtId="0" fontId="2" fillId="0" borderId="0" xfId="0" applyFont="1" applyProtection="1"/>
    <xf numFmtId="0" fontId="8" fillId="0" borderId="0" xfId="0" applyFont="1" applyProtection="1"/>
    <xf numFmtId="43" fontId="5" fillId="4" borderId="0" xfId="0" applyNumberFormat="1" applyFont="1" applyFill="1" applyBorder="1" applyProtection="1">
      <protection hidden="1"/>
    </xf>
    <xf numFmtId="43" fontId="5" fillId="4" borderId="0" xfId="0" applyNumberFormat="1" applyFont="1" applyFill="1" applyBorder="1" applyProtection="1"/>
    <xf numFmtId="43" fontId="2" fillId="4" borderId="0" xfId="0" applyNumberFormat="1" applyFont="1" applyFill="1" applyBorder="1" applyProtection="1"/>
    <xf numFmtId="0" fontId="2" fillId="3" borderId="11" xfId="0" applyFont="1" applyFill="1" applyBorder="1" applyProtection="1"/>
    <xf numFmtId="0" fontId="2" fillId="3" borderId="11" xfId="0" applyFont="1" applyFill="1" applyBorder="1" applyAlignment="1" applyProtection="1">
      <alignment horizontal="left" wrapText="1"/>
    </xf>
    <xf numFmtId="0" fontId="2" fillId="3" borderId="11" xfId="0" applyFont="1" applyFill="1" applyBorder="1" applyAlignment="1" applyProtection="1">
      <alignment wrapText="1"/>
    </xf>
    <xf numFmtId="0" fontId="3" fillId="3" borderId="11" xfId="0" applyFont="1" applyFill="1" applyBorder="1" applyProtection="1"/>
    <xf numFmtId="43" fontId="5" fillId="3" borderId="0" xfId="0" applyNumberFormat="1" applyFont="1" applyFill="1" applyBorder="1" applyProtection="1">
      <protection hidden="1"/>
    </xf>
    <xf numFmtId="43" fontId="5" fillId="3" borderId="0" xfId="0" applyNumberFormat="1" applyFont="1" applyFill="1" applyBorder="1" applyProtection="1"/>
    <xf numFmtId="43" fontId="5" fillId="3" borderId="3" xfId="0" applyNumberFormat="1" applyFont="1" applyFill="1" applyBorder="1" applyProtection="1"/>
    <xf numFmtId="43" fontId="5" fillId="3" borderId="12" xfId="1" applyFont="1" applyFill="1" applyBorder="1" applyProtection="1">
      <protection hidden="1"/>
    </xf>
    <xf numFmtId="43" fontId="5" fillId="3" borderId="12" xfId="1" applyFont="1" applyFill="1" applyBorder="1" applyProtection="1"/>
    <xf numFmtId="0" fontId="5" fillId="3" borderId="0" xfId="0" applyFont="1" applyFill="1" applyBorder="1" applyProtection="1"/>
    <xf numFmtId="0" fontId="2" fillId="3" borderId="0" xfId="0" applyFont="1" applyFill="1" applyBorder="1" applyProtection="1"/>
    <xf numFmtId="0" fontId="2" fillId="3" borderId="13" xfId="0" applyFont="1" applyFill="1" applyBorder="1" applyProtection="1"/>
    <xf numFmtId="43" fontId="2" fillId="3" borderId="12" xfId="1" applyFont="1" applyFill="1" applyBorder="1" applyProtection="1"/>
    <xf numFmtId="0" fontId="8" fillId="2" borderId="0" xfId="0" applyFont="1" applyFill="1" applyProtection="1"/>
    <xf numFmtId="0" fontId="9" fillId="2" borderId="0" xfId="0" applyFont="1" applyFill="1" applyAlignment="1" applyProtection="1">
      <alignment vertical="center"/>
    </xf>
    <xf numFmtId="166" fontId="2" fillId="0" borderId="0" xfId="0" applyNumberFormat="1" applyFont="1"/>
    <xf numFmtId="43" fontId="2" fillId="3" borderId="6" xfId="1" applyFont="1" applyFill="1" applyBorder="1" applyProtection="1">
      <protection hidden="1"/>
    </xf>
    <xf numFmtId="43" fontId="2" fillId="2" borderId="6" xfId="1" applyFont="1" applyFill="1" applyBorder="1" applyProtection="1">
      <protection hidden="1"/>
    </xf>
    <xf numFmtId="0" fontId="3" fillId="2" borderId="11" xfId="0" applyFont="1" applyFill="1" applyBorder="1" applyProtection="1"/>
    <xf numFmtId="43" fontId="2" fillId="2" borderId="12" xfId="1" applyFont="1" applyFill="1" applyBorder="1" applyProtection="1"/>
    <xf numFmtId="43" fontId="5" fillId="2" borderId="0" xfId="1" applyFont="1" applyFill="1" applyBorder="1" applyProtection="1"/>
    <xf numFmtId="0" fontId="2" fillId="2" borderId="12" xfId="0" applyFont="1" applyFill="1" applyBorder="1" applyProtection="1"/>
    <xf numFmtId="43" fontId="2" fillId="2" borderId="0" xfId="0" applyNumberFormat="1" applyFont="1" applyFill="1" applyBorder="1" applyProtection="1"/>
    <xf numFmtId="43" fontId="5" fillId="2" borderId="0" xfId="0" applyNumberFormat="1" applyFont="1" applyFill="1" applyBorder="1" applyProtection="1"/>
    <xf numFmtId="0" fontId="7" fillId="2" borderId="1" xfId="0" applyFont="1" applyFill="1" applyBorder="1" applyAlignment="1" applyProtection="1">
      <protection hidden="1"/>
    </xf>
    <xf numFmtId="0" fontId="6" fillId="2" borderId="2" xfId="0" applyFont="1" applyFill="1" applyBorder="1" applyAlignment="1" applyProtection="1">
      <protection hidden="1"/>
    </xf>
    <xf numFmtId="43" fontId="6" fillId="2" borderId="0" xfId="0" applyNumberFormat="1" applyFont="1" applyFill="1" applyBorder="1" applyAlignment="1" applyProtection="1">
      <protection hidden="1"/>
    </xf>
    <xf numFmtId="0" fontId="2" fillId="2" borderId="1" xfId="0" applyFont="1" applyFill="1" applyBorder="1" applyProtection="1">
      <protection hidden="1"/>
    </xf>
    <xf numFmtId="165" fontId="3" fillId="2" borderId="0" xfId="0" applyNumberFormat="1" applyFont="1" applyFill="1" applyBorder="1" applyAlignment="1" applyProtection="1">
      <alignment horizontal="left" vertical="top"/>
      <protection hidden="1"/>
    </xf>
    <xf numFmtId="0" fontId="7" fillId="2" borderId="1" xfId="0" applyFont="1" applyFill="1" applyBorder="1" applyAlignment="1" applyProtection="1">
      <alignment vertical="top" wrapText="1"/>
      <protection hidden="1"/>
    </xf>
    <xf numFmtId="43" fontId="6" fillId="2" borderId="2" xfId="1" applyFont="1" applyFill="1" applyBorder="1" applyAlignment="1" applyProtection="1">
      <alignment vertical="top" wrapText="1"/>
      <protection hidden="1"/>
    </xf>
    <xf numFmtId="43" fontId="6" fillId="2" borderId="0" xfId="1" applyFont="1" applyFill="1" applyBorder="1" applyAlignment="1" applyProtection="1">
      <alignment vertical="top" wrapText="1"/>
      <protection hidden="1"/>
    </xf>
    <xf numFmtId="43" fontId="6" fillId="2" borderId="2" xfId="1" applyFont="1" applyFill="1" applyBorder="1" applyAlignment="1" applyProtection="1">
      <alignment horizontal="left" vertical="center" wrapText="1" indent="1"/>
      <protection hidden="1"/>
    </xf>
    <xf numFmtId="43" fontId="6" fillId="2" borderId="0" xfId="1" applyFont="1" applyFill="1" applyAlignment="1" applyProtection="1">
      <alignment horizontal="left" vertical="center" wrapText="1" indent="1"/>
      <protection hidden="1"/>
    </xf>
    <xf numFmtId="0" fontId="7" fillId="2" borderId="1" xfId="0" applyFont="1" applyFill="1" applyBorder="1" applyProtection="1">
      <protection hidden="1"/>
    </xf>
    <xf numFmtId="43" fontId="6" fillId="2" borderId="2" xfId="1" applyFont="1" applyFill="1" applyBorder="1" applyProtection="1">
      <protection hidden="1"/>
    </xf>
    <xf numFmtId="43" fontId="6" fillId="2" borderId="0" xfId="1" applyFont="1" applyFill="1" applyProtection="1">
      <protection hidden="1"/>
    </xf>
    <xf numFmtId="165" fontId="3" fillId="2" borderId="0" xfId="0" applyNumberFormat="1" applyFont="1" applyFill="1" applyAlignment="1" applyProtection="1">
      <alignment horizontal="left" vertical="top"/>
      <protection hidden="1"/>
    </xf>
    <xf numFmtId="0" fontId="7" fillId="2" borderId="1" xfId="0" applyFont="1" applyFill="1" applyBorder="1" applyAlignment="1" applyProtection="1">
      <alignment wrapText="1"/>
      <protection hidden="1"/>
    </xf>
    <xf numFmtId="0" fontId="6" fillId="2" borderId="2" xfId="1" quotePrefix="1" applyNumberFormat="1" applyFont="1" applyFill="1" applyBorder="1" applyAlignment="1" applyProtection="1">
      <alignment wrapText="1"/>
      <protection hidden="1"/>
    </xf>
    <xf numFmtId="43" fontId="6" fillId="2" borderId="0" xfId="1" applyFont="1" applyFill="1" applyAlignment="1" applyProtection="1">
      <alignment wrapText="1"/>
      <protection hidden="1"/>
    </xf>
    <xf numFmtId="0" fontId="3" fillId="2" borderId="0" xfId="0" applyFont="1" applyFill="1" applyProtection="1">
      <protection hidden="1"/>
    </xf>
    <xf numFmtId="166" fontId="2" fillId="3" borderId="6" xfId="0" applyNumberFormat="1" applyFont="1" applyFill="1" applyBorder="1" applyProtection="1"/>
    <xf numFmtId="0" fontId="2" fillId="3" borderId="6" xfId="0" applyFont="1" applyFill="1" applyBorder="1" applyProtection="1"/>
    <xf numFmtId="0" fontId="2" fillId="2" borderId="6" xfId="0" applyFont="1" applyFill="1" applyBorder="1" applyProtection="1"/>
    <xf numFmtId="43" fontId="2" fillId="2" borderId="6" xfId="1" applyFont="1" applyFill="1" applyBorder="1" applyProtection="1"/>
    <xf numFmtId="164" fontId="2" fillId="0" borderId="0" xfId="0" applyNumberFormat="1" applyFont="1" applyFill="1" applyProtection="1"/>
    <xf numFmtId="166" fontId="2" fillId="2" borderId="6" xfId="0" applyNumberFormat="1" applyFont="1" applyFill="1" applyBorder="1" applyProtection="1"/>
    <xf numFmtId="0" fontId="3" fillId="2" borderId="6" xfId="0" applyFont="1" applyFill="1" applyBorder="1" applyProtection="1"/>
    <xf numFmtId="166" fontId="2" fillId="0" borderId="0" xfId="0" applyNumberFormat="1" applyFont="1" applyProtection="1"/>
    <xf numFmtId="43" fontId="2" fillId="0" borderId="0" xfId="1" applyFont="1" applyFill="1" applyProtection="1"/>
    <xf numFmtId="0" fontId="10" fillId="0" borderId="0" xfId="0" applyFont="1" applyProtection="1"/>
    <xf numFmtId="166" fontId="2" fillId="2" borderId="0" xfId="0" applyNumberFormat="1" applyFont="1" applyFill="1" applyProtection="1"/>
    <xf numFmtId="0" fontId="9" fillId="2" borderId="3" xfId="0" applyFont="1" applyFill="1" applyBorder="1" applyAlignment="1" applyProtection="1">
      <alignment vertical="center"/>
    </xf>
    <xf numFmtId="43" fontId="2" fillId="2" borderId="3" xfId="1" applyFont="1" applyFill="1" applyBorder="1" applyProtection="1"/>
    <xf numFmtId="0" fontId="4" fillId="2" borderId="0" xfId="0" applyFont="1" applyFill="1" applyProtection="1"/>
    <xf numFmtId="0" fontId="2" fillId="2" borderId="0" xfId="0" applyFont="1" applyFill="1" applyProtection="1"/>
    <xf numFmtId="43" fontId="2" fillId="2" borderId="0" xfId="1" applyFont="1" applyFill="1" applyBorder="1" applyProtection="1"/>
    <xf numFmtId="0" fontId="8" fillId="2" borderId="0" xfId="0" applyFont="1" applyFill="1" applyBorder="1" applyProtection="1"/>
    <xf numFmtId="0" fontId="2" fillId="3" borderId="3" xfId="0" applyFont="1" applyFill="1" applyBorder="1" applyProtection="1"/>
    <xf numFmtId="0" fontId="8" fillId="3" borderId="4" xfId="0" applyFont="1" applyFill="1" applyBorder="1" applyProtection="1"/>
    <xf numFmtId="43" fontId="8" fillId="3" borderId="3" xfId="0" applyNumberFormat="1" applyFont="1" applyFill="1" applyBorder="1" applyProtection="1"/>
    <xf numFmtId="0" fontId="2" fillId="3" borderId="0" xfId="0" applyFont="1" applyFill="1" applyProtection="1"/>
    <xf numFmtId="0" fontId="8" fillId="3" borderId="1" xfId="0" applyFont="1" applyFill="1" applyBorder="1" applyProtection="1"/>
    <xf numFmtId="43" fontId="8" fillId="3" borderId="0" xfId="0" applyNumberFormat="1" applyFont="1" applyFill="1" applyBorder="1" applyProtection="1"/>
    <xf numFmtId="43" fontId="2" fillId="3" borderId="10" xfId="1" applyFont="1" applyFill="1" applyBorder="1" applyProtection="1"/>
    <xf numFmtId="0" fontId="3" fillId="3" borderId="0" xfId="0" applyFont="1" applyFill="1" applyProtection="1"/>
    <xf numFmtId="0" fontId="8" fillId="3" borderId="9" xfId="0" applyFont="1" applyFill="1" applyBorder="1" applyProtection="1"/>
    <xf numFmtId="43" fontId="2" fillId="3" borderId="15" xfId="1" applyFont="1" applyFill="1" applyBorder="1" applyProtection="1"/>
    <xf numFmtId="0" fontId="3" fillId="3" borderId="8" xfId="0" applyFont="1" applyFill="1" applyBorder="1" applyProtection="1"/>
    <xf numFmtId="0" fontId="2" fillId="3" borderId="8" xfId="0" applyFont="1" applyFill="1" applyBorder="1" applyProtection="1"/>
    <xf numFmtId="0" fontId="8" fillId="3" borderId="7" xfId="0" applyFont="1" applyFill="1" applyBorder="1" applyProtection="1"/>
    <xf numFmtId="43" fontId="2" fillId="3" borderId="3" xfId="1" applyFont="1" applyFill="1" applyBorder="1" applyProtection="1"/>
    <xf numFmtId="43" fontId="2" fillId="3" borderId="14" xfId="1" applyFont="1" applyFill="1" applyBorder="1" applyProtection="1"/>
    <xf numFmtId="0" fontId="11" fillId="0" borderId="0" xfId="0" applyFont="1" applyProtection="1"/>
    <xf numFmtId="37" fontId="6" fillId="4" borderId="2" xfId="1" applyNumberFormat="1" applyFont="1" applyFill="1" applyBorder="1" applyProtection="1">
      <protection hidden="1"/>
    </xf>
    <xf numFmtId="43" fontId="2" fillId="0" borderId="0" xfId="1" applyFont="1" applyProtection="1">
      <protection locked="0" hidden="1"/>
    </xf>
    <xf numFmtId="43" fontId="2" fillId="3" borderId="6" xfId="1" applyFont="1" applyFill="1" applyBorder="1" applyProtection="1">
      <protection locked="0" hidden="1"/>
    </xf>
    <xf numFmtId="0" fontId="2" fillId="3" borderId="6" xfId="0" applyFont="1" applyFill="1" applyBorder="1" applyProtection="1">
      <protection locked="0" hidden="1"/>
    </xf>
    <xf numFmtId="49" fontId="2" fillId="3" borderId="6" xfId="1" applyNumberFormat="1" applyFont="1" applyFill="1" applyBorder="1" applyAlignment="1" applyProtection="1">
      <alignment horizontal="left"/>
      <protection locked="0" hidden="1"/>
    </xf>
    <xf numFmtId="43" fontId="2" fillId="3" borderId="6" xfId="1" applyFont="1" applyFill="1" applyBorder="1" applyProtection="1">
      <protection locked="0"/>
    </xf>
    <xf numFmtId="43" fontId="2" fillId="3" borderId="6" xfId="1" applyFont="1" applyFill="1" applyBorder="1" applyAlignment="1" applyProtection="1">
      <alignment vertical="center"/>
      <protection locked="0" hidden="1"/>
    </xf>
    <xf numFmtId="49" fontId="2" fillId="3" borderId="6" xfId="1" applyNumberFormat="1" applyFont="1" applyFill="1" applyBorder="1" applyProtection="1">
      <protection locked="0"/>
    </xf>
    <xf numFmtId="43" fontId="2" fillId="3" borderId="6" xfId="1" applyFont="1" applyFill="1" applyBorder="1" applyAlignment="1" applyProtection="1">
      <alignment horizontal="left"/>
      <protection locked="0"/>
    </xf>
    <xf numFmtId="1" fontId="2" fillId="3" borderId="6" xfId="1" applyNumberFormat="1" applyFont="1" applyFill="1" applyBorder="1" applyAlignment="1" applyProtection="1">
      <alignment horizontal="left"/>
      <protection locked="0"/>
    </xf>
    <xf numFmtId="43" fontId="5" fillId="4" borderId="12" xfId="1" applyFont="1" applyFill="1" applyBorder="1" applyProtection="1">
      <protection locked="0" hidden="1"/>
    </xf>
    <xf numFmtId="43" fontId="2" fillId="4" borderId="12" xfId="1" applyFont="1" applyFill="1" applyBorder="1" applyProtection="1">
      <protection locked="0" hidden="1"/>
    </xf>
    <xf numFmtId="43" fontId="2" fillId="4" borderId="2" xfId="1" applyFont="1" applyFill="1" applyBorder="1" applyProtection="1">
      <protection locked="0" hidden="1"/>
    </xf>
    <xf numFmtId="43" fontId="6" fillId="4" borderId="0" xfId="1" applyFont="1" applyFill="1" applyBorder="1" applyAlignment="1" applyProtection="1">
      <alignment vertical="center"/>
      <protection locked="0" hidden="1"/>
    </xf>
    <xf numFmtId="43" fontId="6" fillId="4" borderId="2" xfId="1" applyFont="1" applyFill="1" applyBorder="1" applyProtection="1">
      <protection locked="0" hidden="1"/>
    </xf>
    <xf numFmtId="43" fontId="2" fillId="4" borderId="1" xfId="1" applyFont="1" applyFill="1" applyBorder="1" applyProtection="1">
      <protection locked="0" hidden="1"/>
    </xf>
    <xf numFmtId="43" fontId="6" fillId="4" borderId="2" xfId="1" applyFont="1" applyFill="1" applyBorder="1" applyAlignment="1" applyProtection="1">
      <alignment vertical="top" wrapText="1"/>
      <protection locked="0" hidden="1"/>
    </xf>
    <xf numFmtId="43" fontId="2" fillId="4" borderId="2" xfId="1" applyFont="1" applyFill="1" applyBorder="1" applyAlignment="1" applyProtection="1">
      <alignment wrapText="1"/>
      <protection locked="0" hidden="1"/>
    </xf>
    <xf numFmtId="43" fontId="6" fillId="4" borderId="2" xfId="1" applyFont="1" applyFill="1" applyBorder="1" applyAlignment="1" applyProtection="1">
      <alignment horizontal="left"/>
      <protection locked="0" hidden="1"/>
    </xf>
    <xf numFmtId="43" fontId="6" fillId="4" borderId="2" xfId="1" applyFont="1" applyFill="1" applyBorder="1" applyAlignment="1" applyProtection="1">
      <protection locked="0" hidden="1"/>
    </xf>
    <xf numFmtId="0" fontId="6" fillId="4" borderId="2" xfId="1" applyNumberFormat="1" applyFont="1" applyFill="1" applyBorder="1" applyProtection="1">
      <protection locked="0" hidden="1"/>
    </xf>
    <xf numFmtId="0" fontId="2" fillId="4" borderId="2" xfId="1" applyNumberFormat="1" applyFont="1" applyFill="1" applyBorder="1" applyAlignment="1" applyProtection="1">
      <alignment wrapText="1"/>
      <protection locked="0" hidden="1"/>
    </xf>
    <xf numFmtId="43" fontId="2" fillId="4" borderId="0" xfId="1" applyFont="1" applyFill="1" applyAlignment="1" applyProtection="1">
      <alignment horizontal="center" vertical="center" wrapText="1"/>
      <protection hidden="1"/>
    </xf>
    <xf numFmtId="0" fontId="9" fillId="2" borderId="0" xfId="0" applyFont="1" applyFill="1" applyBorder="1" applyAlignment="1" applyProtection="1">
      <alignment horizontal="left"/>
      <protection hidden="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2.xml.rels><?xml version="1.0" encoding="UTF-8" standalone="yes"?>
<Relationships xmlns="http://schemas.openxmlformats.org/package/2006/relationships"><Relationship Id="rId1" Type="http://schemas.microsoft.com/office/2006/relationships/activeXControlBinary" Target="activeX1.bin"/></Relationships>
</file>

<file path=xl/activeX/_rels/activeX3.xml.rels><?xml version="1.0" encoding="UTF-8" standalone="yes"?>
<Relationships xmlns="http://schemas.openxmlformats.org/package/2006/relationships"><Relationship Id="rId1" Type="http://schemas.microsoft.com/office/2006/relationships/activeXControlBinary" Target="activeX2.bin"/></Relationships>
</file>

<file path=xl/activeX/_rels/activeX4.xml.rels><?xml version="1.0" encoding="UTF-8" standalone="yes"?>
<Relationships xmlns="http://schemas.openxmlformats.org/package/2006/relationships"><Relationship Id="rId1" Type="http://schemas.microsoft.com/office/2006/relationships/activeXControlBinary" Target="activeX3.bin"/></Relationships>
</file>

<file path=xl/activeX/_rels/activeX5.xml.rels><?xml version="1.0" encoding="UTF-8" standalone="yes"?>
<Relationships xmlns="http://schemas.openxmlformats.org/package/2006/relationships"><Relationship Id="rId1" Type="http://schemas.microsoft.com/office/2006/relationships/activeXControlBinary" Target="activeX4.bin"/></Relationships>
</file>

<file path=xl/activeX/_rels/activeX6.xml.rels><?xml version="1.0" encoding="UTF-8" standalone="yes"?>
<Relationships xmlns="http://schemas.openxmlformats.org/package/2006/relationships"><Relationship Id="rId1" Type="http://schemas.microsoft.com/office/2006/relationships/activeXControlBinary" Target="activeX5.bin"/></Relationships>
</file>

<file path=xl/activeX/_rels/activeX7.xml.rels><?xml version="1.0" encoding="UTF-8" standalone="yes"?>
<Relationships xmlns="http://schemas.openxmlformats.org/package/2006/relationships"><Relationship Id="rId1" Type="http://schemas.microsoft.com/office/2006/relationships/activeXControlBinary" Target="activeX6.bin"/></Relationships>
</file>

<file path=xl/activeX/_rels/activeX8.xml.rels><?xml version="1.0" encoding="UTF-8" standalone="yes"?>
<Relationships xmlns="http://schemas.openxmlformats.org/package/2006/relationships"><Relationship Id="rId1" Type="http://schemas.microsoft.com/office/2006/relationships/activeXControlBinary" Target="activeX7.bin"/></Relationships>
</file>

<file path=xl/activeX/_rels/activeX9.xml.rels><?xml version="1.0" encoding="UTF-8" standalone="yes"?>
<Relationships xmlns="http://schemas.openxmlformats.org/package/2006/relationships"><Relationship Id="rId1" Type="http://schemas.microsoft.com/office/2006/relationships/activeXControlBinary" Target="activeX8.bin"/></Relationships>
</file>

<file path=xl/activeX/_rels/activeX10.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5965243"/>
  <ax:ocxPr ax:name="_ExtentY" ax:value="5965243"/>
  <ax:ocxPr ax:name="_Version" ax:value="393216"/>
  <ax:ocxPr ax:name="Font">
    <ax:font ax:persistence="persistPropertyBag">
      <ax:ocxPr ax:name="Name" ax:value="Times New Roman"/>
      <ax:ocxPr ax:name="Size" ax:value="15.75"/>
      <ax:ocxPr ax:name="Charset" ax:value="0"/>
      <ax:ocxPr ax:name="Weight" ax:value="400"/>
      <ax:ocxPr ax:name="Underline" ax:value="0"/>
      <ax:ocxPr ax:name="Italic" ax:value="0"/>
      <ax:ocxPr ax:name="Strikethrough" ax:value="0"/>
    </ax:font>
  </ax:ocxPr>
  <ax:ocxPr ax:name="Format" ax:value="272498689"/>
  <ax:ocxPr ax:name="CurrentDate" ax:value="36770"/>
  <ax:ocxPr ax:name="MaxDate" ax:value="37868"/>
</ax:ocx>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6</xdr:row>
          <xdr:rowOff>38100</xdr:rowOff>
        </xdr:from>
        <xdr:to>
          <xdr:col>2</xdr:col>
          <xdr:colOff>1962150</xdr:colOff>
          <xdr:row>6</xdr:row>
          <xdr:rowOff>438150</xdr:rowOff>
        </xdr:to>
        <xdr:sp macro="" textlink="">
          <xdr:nvSpPr>
            <xdr:cNvPr id="5122" name="DTPicker1"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20</xdr:row>
          <xdr:rowOff>57150</xdr:rowOff>
        </xdr:from>
        <xdr:to>
          <xdr:col>2</xdr:col>
          <xdr:colOff>2571750</xdr:colOff>
          <xdr:row>20</xdr:row>
          <xdr:rowOff>381000</xdr:rowOff>
        </xdr:to>
        <xdr:sp macro="" textlink="">
          <xdr:nvSpPr>
            <xdr:cNvPr id="5127" name="next1btn"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20</xdr:row>
          <xdr:rowOff>47625</xdr:rowOff>
        </xdr:from>
        <xdr:to>
          <xdr:col>1</xdr:col>
          <xdr:colOff>1990725</xdr:colOff>
          <xdr:row>20</xdr:row>
          <xdr:rowOff>390525</xdr:rowOff>
        </xdr:to>
        <xdr:sp macro="" textlink="">
          <xdr:nvSpPr>
            <xdr:cNvPr id="5128" name="resetbtn"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123825</xdr:rowOff>
        </xdr:from>
        <xdr:to>
          <xdr:col>2</xdr:col>
          <xdr:colOff>2028825</xdr:colOff>
          <xdr:row>16</xdr:row>
          <xdr:rowOff>466725</xdr:rowOff>
        </xdr:to>
        <xdr:sp macro="" textlink="">
          <xdr:nvSpPr>
            <xdr:cNvPr id="6146" name="next2btn"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152400</xdr:rowOff>
        </xdr:from>
        <xdr:to>
          <xdr:col>1</xdr:col>
          <xdr:colOff>1876425</xdr:colOff>
          <xdr:row>16</xdr:row>
          <xdr:rowOff>476250</xdr:rowOff>
        </xdr:to>
        <xdr:sp macro="" textlink="">
          <xdr:nvSpPr>
            <xdr:cNvPr id="6147" name="backl2btn"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123825</xdr:rowOff>
        </xdr:from>
        <xdr:to>
          <xdr:col>5</xdr:col>
          <xdr:colOff>600075</xdr:colOff>
          <xdr:row>16</xdr:row>
          <xdr:rowOff>457200</xdr:rowOff>
        </xdr:to>
        <xdr:sp macro="" textlink="">
          <xdr:nvSpPr>
            <xdr:cNvPr id="6148" name="cancel2bt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103</xdr:row>
          <xdr:rowOff>171450</xdr:rowOff>
        </xdr:from>
        <xdr:to>
          <xdr:col>3</xdr:col>
          <xdr:colOff>2066925</xdr:colOff>
          <xdr:row>103</xdr:row>
          <xdr:rowOff>514350</xdr:rowOff>
        </xdr:to>
        <xdr:sp macro="" textlink="">
          <xdr:nvSpPr>
            <xdr:cNvPr id="7170" name="next3btn"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103</xdr:row>
          <xdr:rowOff>219075</xdr:rowOff>
        </xdr:from>
        <xdr:to>
          <xdr:col>1</xdr:col>
          <xdr:colOff>2095500</xdr:colOff>
          <xdr:row>103</xdr:row>
          <xdr:rowOff>542925</xdr:rowOff>
        </xdr:to>
        <xdr:sp macro="" textlink="">
          <xdr:nvSpPr>
            <xdr:cNvPr id="7171" name="back3btn"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103</xdr:row>
          <xdr:rowOff>161925</xdr:rowOff>
        </xdr:from>
        <xdr:to>
          <xdr:col>4</xdr:col>
          <xdr:colOff>1866900</xdr:colOff>
          <xdr:row>103</xdr:row>
          <xdr:rowOff>495300</xdr:rowOff>
        </xdr:to>
        <xdr:sp macro="" textlink="">
          <xdr:nvSpPr>
            <xdr:cNvPr id="7172" name="cancel3btn"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103</xdr:row>
          <xdr:rowOff>161925</xdr:rowOff>
        </xdr:from>
        <xdr:to>
          <xdr:col>2</xdr:col>
          <xdr:colOff>2171700</xdr:colOff>
          <xdr:row>103</xdr:row>
          <xdr:rowOff>514350</xdr:rowOff>
        </xdr:to>
        <xdr:sp macro="" textlink="">
          <xdr:nvSpPr>
            <xdr:cNvPr id="7175" name="reset3btn" hidden="1">
              <a:extLst>
                <a:ext uri="{63B3BB69-23CF-44E3-9099-C40C66FF867C}">
                  <a14:compatExt spid="_x0000_s7175"/>
                </a:ext>
                <a:ext uri="{FF2B5EF4-FFF2-40B4-BE49-F238E27FC236}">
                  <a16:creationId xmlns:a16="http://schemas.microsoft.com/office/drawing/2014/main" id="{00000000-0008-0000-02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7</xdr:row>
          <xdr:rowOff>85725</xdr:rowOff>
        </xdr:from>
        <xdr:to>
          <xdr:col>0</xdr:col>
          <xdr:colOff>1552575</xdr:colOff>
          <xdr:row>7</xdr:row>
          <xdr:rowOff>400050</xdr:rowOff>
        </xdr:to>
        <xdr:sp macro="" textlink="">
          <xdr:nvSpPr>
            <xdr:cNvPr id="8193" name="back4btn"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7</xdr:row>
          <xdr:rowOff>66675</xdr:rowOff>
        </xdr:from>
        <xdr:to>
          <xdr:col>3</xdr:col>
          <xdr:colOff>1800225</xdr:colOff>
          <xdr:row>7</xdr:row>
          <xdr:rowOff>381000</xdr:rowOff>
        </xdr:to>
        <xdr:sp macro="" textlink="">
          <xdr:nvSpPr>
            <xdr:cNvPr id="8195" name="donebtn"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4A20C-5036-44DA-8803-428325151DC5}">
  <sheetPr codeName="Sheet2"/>
  <dimension ref="A1:AM94"/>
  <sheetViews>
    <sheetView tabSelected="1" zoomScale="80" zoomScaleNormal="80" workbookViewId="0">
      <selection activeCell="C2" sqref="C2"/>
    </sheetView>
  </sheetViews>
  <sheetFormatPr defaultRowHeight="20.25" x14ac:dyDescent="0.3"/>
  <cols>
    <col min="1" max="1" width="5" style="128" customWidth="1"/>
    <col min="2" max="2" width="88.5703125" style="1" customWidth="1"/>
    <col min="3" max="3" width="65.5703125" style="1" customWidth="1"/>
    <col min="4" max="16384" width="9.140625" style="1"/>
  </cols>
  <sheetData>
    <row r="1" spans="1:39" ht="37.5" customHeight="1" x14ac:dyDescent="0.3">
      <c r="A1" s="165"/>
      <c r="B1" s="166" t="s">
        <v>0</v>
      </c>
      <c r="C1" s="167"/>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row>
    <row r="2" spans="1:39" ht="30" customHeight="1" x14ac:dyDescent="0.3">
      <c r="A2" s="155" t="s">
        <v>95</v>
      </c>
      <c r="B2" s="156" t="s">
        <v>1</v>
      </c>
      <c r="C2" s="190"/>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row>
    <row r="3" spans="1:39" ht="30" customHeight="1" x14ac:dyDescent="0.3">
      <c r="A3" s="155" t="s">
        <v>96</v>
      </c>
      <c r="B3" s="156" t="s">
        <v>2</v>
      </c>
      <c r="C3" s="191"/>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row>
    <row r="4" spans="1:39" ht="30" customHeight="1" x14ac:dyDescent="0.3">
      <c r="A4" s="155" t="s">
        <v>97</v>
      </c>
      <c r="B4" s="156" t="s">
        <v>89</v>
      </c>
      <c r="C4" s="192"/>
      <c r="D4" s="2"/>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row>
    <row r="5" spans="1:39" x14ac:dyDescent="0.3">
      <c r="A5" s="155" t="s">
        <v>59</v>
      </c>
      <c r="B5" s="156" t="s">
        <v>3</v>
      </c>
      <c r="C5" s="193" t="s">
        <v>76</v>
      </c>
      <c r="D5" s="108"/>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row>
    <row r="6" spans="1:39" x14ac:dyDescent="0.3">
      <c r="A6" s="155" t="s">
        <v>60</v>
      </c>
      <c r="B6" s="156" t="s">
        <v>4</v>
      </c>
      <c r="C6" s="194" t="s">
        <v>76</v>
      </c>
      <c r="D6" s="3"/>
      <c r="E6" s="108"/>
      <c r="F6" s="108"/>
      <c r="G6" s="108"/>
      <c r="H6" s="108"/>
      <c r="I6" s="108"/>
      <c r="J6" s="108"/>
      <c r="K6" s="108"/>
      <c r="L6" s="108"/>
      <c r="M6" s="10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row>
    <row r="7" spans="1:39" ht="36" customHeight="1" x14ac:dyDescent="0.3">
      <c r="A7" s="155" t="s">
        <v>61</v>
      </c>
      <c r="B7" s="156" t="s">
        <v>90</v>
      </c>
      <c r="C7" s="129"/>
      <c r="D7" s="107"/>
      <c r="E7" s="107"/>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row>
    <row r="8" spans="1:39" ht="30" customHeight="1" x14ac:dyDescent="0.3">
      <c r="A8" s="155" t="s">
        <v>85</v>
      </c>
      <c r="B8" s="156" t="s">
        <v>110</v>
      </c>
      <c r="C8" s="193" t="s">
        <v>76</v>
      </c>
      <c r="D8" s="107"/>
      <c r="E8" s="107"/>
      <c r="F8" s="108"/>
      <c r="G8" s="108"/>
      <c r="H8" s="108"/>
      <c r="I8" s="108"/>
      <c r="J8" s="108"/>
      <c r="K8" s="108"/>
      <c r="L8" s="108"/>
      <c r="M8" s="108"/>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row>
    <row r="9" spans="1:39" ht="30" customHeight="1" x14ac:dyDescent="0.3">
      <c r="A9" s="155" t="s">
        <v>98</v>
      </c>
      <c r="B9" s="156" t="s">
        <v>5</v>
      </c>
      <c r="C9" s="193" t="s">
        <v>76</v>
      </c>
      <c r="D9" s="107"/>
      <c r="E9" s="107"/>
      <c r="F9" s="108"/>
      <c r="G9" s="108"/>
      <c r="H9" s="108"/>
      <c r="I9" s="108"/>
      <c r="J9" s="108"/>
      <c r="K9" s="108"/>
      <c r="L9" s="108"/>
      <c r="M9" s="108"/>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row>
    <row r="10" spans="1:39" x14ac:dyDescent="0.3">
      <c r="A10" s="155"/>
      <c r="B10" s="157"/>
      <c r="C10" s="158"/>
      <c r="D10" s="107"/>
      <c r="E10" s="107"/>
      <c r="F10" s="108"/>
      <c r="G10" s="108"/>
      <c r="H10" s="108"/>
      <c r="I10" s="108"/>
      <c r="J10" s="108"/>
      <c r="K10" s="108"/>
      <c r="L10" s="108"/>
      <c r="M10" s="108"/>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row>
    <row r="11" spans="1:39" ht="30" customHeight="1" x14ac:dyDescent="0.3">
      <c r="A11" s="155" t="s">
        <v>99</v>
      </c>
      <c r="B11" s="156" t="s">
        <v>6</v>
      </c>
      <c r="C11" s="195" t="s">
        <v>78</v>
      </c>
      <c r="D11" s="159"/>
      <c r="E11" s="107"/>
      <c r="F11" s="108"/>
      <c r="G11" s="108"/>
      <c r="H11" s="108"/>
      <c r="I11" s="108"/>
      <c r="J11" s="108"/>
      <c r="K11" s="108"/>
      <c r="L11" s="108"/>
      <c r="M11" s="10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row>
    <row r="12" spans="1:39" ht="30" customHeight="1" x14ac:dyDescent="0.3">
      <c r="A12" s="155" t="s">
        <v>86</v>
      </c>
      <c r="B12" s="156" t="s">
        <v>91</v>
      </c>
      <c r="C12" s="196" t="s">
        <v>78</v>
      </c>
      <c r="D12" s="2"/>
      <c r="E12" s="107"/>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row>
    <row r="13" spans="1:39" ht="27" customHeight="1" x14ac:dyDescent="0.3">
      <c r="A13" s="155" t="s">
        <v>87</v>
      </c>
      <c r="B13" s="156" t="s">
        <v>92</v>
      </c>
      <c r="C13" s="193" t="s">
        <v>78</v>
      </c>
      <c r="D13" s="107"/>
      <c r="E13" s="107"/>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row>
    <row r="14" spans="1:39" x14ac:dyDescent="0.3">
      <c r="A14" s="160"/>
      <c r="B14" s="157"/>
      <c r="C14" s="158"/>
      <c r="D14" s="107"/>
      <c r="E14" s="107"/>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row>
    <row r="15" spans="1:39" ht="30" customHeight="1" x14ac:dyDescent="0.3">
      <c r="A15" s="155" t="s">
        <v>100</v>
      </c>
      <c r="B15" s="156" t="s">
        <v>7</v>
      </c>
      <c r="C15" s="197"/>
      <c r="D15" s="107"/>
      <c r="E15" s="107"/>
      <c r="F15" s="108"/>
      <c r="G15" s="108"/>
      <c r="H15" s="108"/>
      <c r="I15" s="108"/>
      <c r="J15" s="108"/>
      <c r="K15" s="108"/>
      <c r="L15" s="108"/>
      <c r="M15" s="108"/>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row>
    <row r="16" spans="1:39" ht="30" customHeight="1" x14ac:dyDescent="0.3">
      <c r="A16" s="155" t="s">
        <v>88</v>
      </c>
      <c r="B16" s="156" t="s">
        <v>93</v>
      </c>
      <c r="C16" s="193" t="s">
        <v>76</v>
      </c>
      <c r="D16" s="107"/>
      <c r="E16" s="107"/>
      <c r="F16" s="108"/>
      <c r="G16" s="108"/>
      <c r="H16" s="108"/>
      <c r="I16" s="108"/>
      <c r="J16" s="108"/>
      <c r="K16" s="108"/>
      <c r="L16" s="108"/>
      <c r="M16" s="108"/>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row>
    <row r="17" spans="1:39" x14ac:dyDescent="0.3">
      <c r="A17" s="155"/>
      <c r="B17" s="156"/>
      <c r="C17" s="156"/>
      <c r="D17" s="107"/>
      <c r="E17" s="107"/>
      <c r="F17" s="108"/>
      <c r="G17" s="108"/>
      <c r="H17" s="108"/>
      <c r="I17" s="108"/>
      <c r="J17" s="108"/>
      <c r="K17" s="108"/>
      <c r="L17" s="108"/>
      <c r="M17" s="108"/>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row>
    <row r="18" spans="1:39" ht="33" customHeight="1" x14ac:dyDescent="0.3">
      <c r="A18" s="160"/>
      <c r="B18" s="161" t="s">
        <v>77</v>
      </c>
      <c r="C18" s="130"/>
      <c r="D18" s="107"/>
      <c r="E18" s="107"/>
      <c r="F18" s="108"/>
      <c r="G18" s="108"/>
      <c r="H18" s="108"/>
      <c r="I18" s="108"/>
      <c r="J18" s="108"/>
      <c r="K18" s="108"/>
      <c r="L18" s="108"/>
      <c r="M18" s="108"/>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row>
    <row r="19" spans="1:39" ht="30" customHeight="1" x14ac:dyDescent="0.3">
      <c r="A19" s="155" t="s">
        <v>101</v>
      </c>
      <c r="B19" s="156" t="s">
        <v>8</v>
      </c>
      <c r="C19" s="193" t="s">
        <v>76</v>
      </c>
      <c r="D19" s="108"/>
      <c r="E19" s="108"/>
      <c r="F19" s="108"/>
      <c r="G19" s="108"/>
      <c r="H19" s="108"/>
      <c r="I19" s="108"/>
      <c r="J19" s="108"/>
      <c r="K19" s="108"/>
      <c r="L19" s="108"/>
      <c r="M19" s="108"/>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row>
    <row r="20" spans="1:39" ht="30" customHeight="1" x14ac:dyDescent="0.3">
      <c r="A20" s="155" t="s">
        <v>102</v>
      </c>
      <c r="B20" s="156" t="s">
        <v>94</v>
      </c>
      <c r="C20" s="197"/>
      <c r="D20" s="107"/>
      <c r="E20" s="108"/>
      <c r="F20" s="108"/>
      <c r="G20" s="108"/>
      <c r="H20" s="108"/>
      <c r="I20" s="108"/>
      <c r="J20" s="108"/>
      <c r="K20" s="108"/>
      <c r="L20" s="108"/>
      <c r="M20" s="108"/>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row>
    <row r="21" spans="1:39" ht="34.5" customHeight="1" x14ac:dyDescent="0.3">
      <c r="A21" s="162"/>
      <c r="B21" s="108"/>
      <c r="C21" s="163"/>
      <c r="D21" s="107"/>
      <c r="E21" s="108"/>
      <c r="F21" s="108"/>
      <c r="G21" s="108"/>
      <c r="H21" s="108"/>
      <c r="I21" s="108"/>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row>
    <row r="22" spans="1:39" x14ac:dyDescent="0.3">
      <c r="A22" s="162"/>
      <c r="B22" s="164" t="s">
        <v>103</v>
      </c>
      <c r="C22" s="108"/>
      <c r="D22" s="108"/>
      <c r="E22" s="108"/>
      <c r="F22" s="108"/>
      <c r="G22" s="108"/>
      <c r="H22" s="108"/>
      <c r="I22" s="108"/>
      <c r="J22" s="108"/>
      <c r="K22" s="108"/>
      <c r="L22" s="108"/>
      <c r="M22" s="108"/>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row>
    <row r="23" spans="1:39" x14ac:dyDescent="0.3">
      <c r="A23" s="162"/>
      <c r="B23" s="108"/>
      <c r="C23" s="108"/>
      <c r="D23" s="108"/>
      <c r="E23" s="108"/>
      <c r="F23" s="108"/>
      <c r="G23" s="108"/>
      <c r="H23" s="108"/>
      <c r="I23" s="108"/>
      <c r="J23" s="108"/>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row>
    <row r="24" spans="1:39" x14ac:dyDescent="0.3">
      <c r="A24" s="162"/>
      <c r="B24" s="108"/>
      <c r="C24" s="108"/>
      <c r="D24" s="108"/>
      <c r="E24" s="108"/>
      <c r="F24" s="108"/>
      <c r="G24" s="108"/>
      <c r="H24" s="108"/>
      <c r="I24" s="108"/>
      <c r="J24" s="108"/>
      <c r="K24" s="108"/>
      <c r="L24" s="108"/>
      <c r="M24" s="108"/>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row>
    <row r="25" spans="1:39" x14ac:dyDescent="0.3">
      <c r="A25" s="162"/>
      <c r="B25" s="108"/>
      <c r="C25" s="108"/>
      <c r="D25" s="108"/>
      <c r="E25" s="108"/>
      <c r="F25" s="108"/>
      <c r="G25" s="108"/>
      <c r="H25" s="108"/>
      <c r="I25" s="108"/>
      <c r="J25" s="108"/>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row>
    <row r="26" spans="1:39" x14ac:dyDescent="0.3">
      <c r="A26" s="162"/>
      <c r="B26" s="108"/>
      <c r="C26" s="108"/>
      <c r="D26" s="108"/>
      <c r="E26" s="108"/>
      <c r="F26" s="108"/>
      <c r="G26" s="108"/>
      <c r="H26" s="108"/>
      <c r="I26" s="108"/>
      <c r="J26" s="108"/>
      <c r="K26" s="108"/>
      <c r="L26" s="108"/>
      <c r="M26" s="108"/>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row>
    <row r="27" spans="1:39" x14ac:dyDescent="0.3">
      <c r="A27" s="162"/>
      <c r="B27" s="108"/>
      <c r="C27" s="108"/>
      <c r="D27" s="108"/>
      <c r="E27" s="108"/>
      <c r="F27" s="108"/>
      <c r="G27" s="108"/>
      <c r="H27" s="108"/>
      <c r="I27" s="108"/>
      <c r="J27" s="108"/>
      <c r="K27" s="108"/>
      <c r="L27" s="108"/>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row>
    <row r="28" spans="1:39" x14ac:dyDescent="0.3">
      <c r="A28" s="162"/>
      <c r="B28" s="108"/>
      <c r="C28" s="108"/>
      <c r="D28" s="108"/>
      <c r="E28" s="108"/>
      <c r="F28" s="108"/>
      <c r="G28" s="108"/>
      <c r="H28" s="108"/>
      <c r="I28" s="108"/>
      <c r="J28" s="108"/>
      <c r="K28" s="108"/>
      <c r="L28" s="108"/>
      <c r="M28" s="108"/>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row>
    <row r="29" spans="1:39" x14ac:dyDescent="0.3">
      <c r="A29" s="162"/>
      <c r="B29" s="108"/>
      <c r="C29" s="108"/>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row>
    <row r="30" spans="1:39" x14ac:dyDescent="0.3">
      <c r="A30" s="162"/>
      <c r="B30" s="108"/>
      <c r="C30" s="108"/>
      <c r="D30" s="108"/>
      <c r="E30" s="108"/>
      <c r="F30" s="108"/>
      <c r="G30" s="108"/>
      <c r="H30" s="108"/>
      <c r="I30" s="108"/>
      <c r="J30" s="108"/>
      <c r="K30" s="108"/>
      <c r="L30" s="108"/>
      <c r="M30" s="108"/>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row>
    <row r="31" spans="1:39" x14ac:dyDescent="0.3">
      <c r="A31" s="162"/>
      <c r="B31" s="108"/>
      <c r="C31" s="108"/>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row>
    <row r="32" spans="1:39" x14ac:dyDescent="0.3">
      <c r="A32" s="162"/>
      <c r="B32" s="108"/>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row>
    <row r="33" spans="1:39" x14ac:dyDescent="0.3">
      <c r="A33" s="162"/>
      <c r="B33" s="108"/>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row>
    <row r="34" spans="1:39" x14ac:dyDescent="0.3">
      <c r="A34" s="162"/>
      <c r="B34" s="108"/>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row>
    <row r="35" spans="1:39" x14ac:dyDescent="0.3">
      <c r="A35" s="162"/>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row>
    <row r="36" spans="1:39" x14ac:dyDescent="0.3">
      <c r="A36" s="162"/>
      <c r="B36" s="108"/>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row>
    <row r="37" spans="1:39" x14ac:dyDescent="0.3">
      <c r="A37" s="162"/>
      <c r="B37" s="108"/>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row>
    <row r="38" spans="1:39" x14ac:dyDescent="0.3">
      <c r="A38" s="162"/>
      <c r="B38" s="108"/>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row>
    <row r="39" spans="1:39" x14ac:dyDescent="0.3">
      <c r="A39" s="162"/>
      <c r="B39" s="108"/>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row>
    <row r="40" spans="1:39" x14ac:dyDescent="0.3">
      <c r="A40" s="162"/>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row>
    <row r="41" spans="1:39" x14ac:dyDescent="0.3">
      <c r="A41" s="162"/>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row>
    <row r="42" spans="1:39" x14ac:dyDescent="0.3">
      <c r="A42" s="162"/>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row>
    <row r="43" spans="1:39" x14ac:dyDescent="0.3">
      <c r="A43" s="162"/>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row>
    <row r="44" spans="1:39" x14ac:dyDescent="0.3">
      <c r="A44" s="162"/>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row>
    <row r="45" spans="1:39" x14ac:dyDescent="0.3">
      <c r="A45" s="162"/>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row>
    <row r="46" spans="1:39" x14ac:dyDescent="0.3">
      <c r="A46" s="162"/>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row>
    <row r="47" spans="1:39" x14ac:dyDescent="0.3">
      <c r="A47" s="162"/>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c r="AA47" s="108"/>
      <c r="AB47" s="108"/>
      <c r="AC47" s="108"/>
      <c r="AD47" s="108"/>
      <c r="AE47" s="108"/>
      <c r="AF47" s="108"/>
      <c r="AG47" s="108"/>
      <c r="AH47" s="108"/>
      <c r="AI47" s="108"/>
      <c r="AJ47" s="108"/>
      <c r="AK47" s="108"/>
      <c r="AL47" s="108"/>
      <c r="AM47" s="108"/>
    </row>
    <row r="48" spans="1:39" x14ac:dyDescent="0.3">
      <c r="A48" s="162"/>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c r="AA48" s="108"/>
      <c r="AB48" s="108"/>
      <c r="AC48" s="108"/>
      <c r="AD48" s="108"/>
      <c r="AE48" s="108"/>
      <c r="AF48" s="108"/>
      <c r="AG48" s="108"/>
      <c r="AH48" s="108"/>
      <c r="AI48" s="108"/>
      <c r="AJ48" s="108"/>
      <c r="AK48" s="108"/>
      <c r="AL48" s="108"/>
      <c r="AM48" s="108"/>
    </row>
    <row r="49" spans="1:39" x14ac:dyDescent="0.3">
      <c r="A49" s="162"/>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row>
    <row r="50" spans="1:39" x14ac:dyDescent="0.3">
      <c r="A50" s="162"/>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08"/>
    </row>
    <row r="51" spans="1:39" x14ac:dyDescent="0.3">
      <c r="A51" s="162"/>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08"/>
    </row>
    <row r="52" spans="1:39" x14ac:dyDescent="0.3">
      <c r="A52" s="162"/>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row>
    <row r="53" spans="1:39" x14ac:dyDescent="0.3">
      <c r="A53" s="162"/>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08"/>
      <c r="AM53" s="108"/>
    </row>
    <row r="54" spans="1:39" x14ac:dyDescent="0.3">
      <c r="A54" s="162"/>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row>
    <row r="55" spans="1:39" x14ac:dyDescent="0.3">
      <c r="A55" s="162"/>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row>
    <row r="56" spans="1:39" x14ac:dyDescent="0.3">
      <c r="A56" s="162"/>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row>
    <row r="57" spans="1:39" x14ac:dyDescent="0.3">
      <c r="A57" s="162"/>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row>
    <row r="58" spans="1:39" x14ac:dyDescent="0.3">
      <c r="A58" s="162"/>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row>
    <row r="59" spans="1:39" x14ac:dyDescent="0.3">
      <c r="A59" s="162"/>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row>
    <row r="60" spans="1:39" x14ac:dyDescent="0.3">
      <c r="A60" s="162"/>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row>
    <row r="61" spans="1:39" x14ac:dyDescent="0.3">
      <c r="A61" s="162"/>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row>
    <row r="62" spans="1:39" x14ac:dyDescent="0.3">
      <c r="A62" s="162"/>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row>
    <row r="63" spans="1:39" x14ac:dyDescent="0.3">
      <c r="A63" s="162"/>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row>
    <row r="64" spans="1:39" x14ac:dyDescent="0.3">
      <c r="A64" s="162"/>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row>
    <row r="65" spans="1:39" x14ac:dyDescent="0.3">
      <c r="A65" s="162"/>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row>
    <row r="66" spans="1:39" x14ac:dyDescent="0.3">
      <c r="A66" s="162"/>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row>
    <row r="67" spans="1:39" x14ac:dyDescent="0.3">
      <c r="A67" s="162"/>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row>
    <row r="68" spans="1:39" x14ac:dyDescent="0.3">
      <c r="A68" s="162"/>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row>
    <row r="69" spans="1:39" x14ac:dyDescent="0.3">
      <c r="A69" s="162"/>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row>
    <row r="70" spans="1:39" x14ac:dyDescent="0.3">
      <c r="A70" s="162"/>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row>
    <row r="71" spans="1:39" x14ac:dyDescent="0.3">
      <c r="A71" s="162"/>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row>
    <row r="72" spans="1:39" x14ac:dyDescent="0.3">
      <c r="A72" s="162"/>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row>
    <row r="73" spans="1:39" x14ac:dyDescent="0.3">
      <c r="A73" s="162"/>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row>
    <row r="74" spans="1:39" x14ac:dyDescent="0.3">
      <c r="A74" s="162"/>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row>
    <row r="75" spans="1:39" x14ac:dyDescent="0.3">
      <c r="A75" s="162"/>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row>
    <row r="76" spans="1:39" x14ac:dyDescent="0.3">
      <c r="A76" s="162"/>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row>
    <row r="77" spans="1:39" x14ac:dyDescent="0.3">
      <c r="A77" s="162"/>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row>
    <row r="78" spans="1:39" x14ac:dyDescent="0.3">
      <c r="A78" s="162"/>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row>
    <row r="79" spans="1:39" x14ac:dyDescent="0.3">
      <c r="A79" s="162"/>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row>
    <row r="80" spans="1:39" x14ac:dyDescent="0.3">
      <c r="A80" s="162"/>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row>
    <row r="81" spans="1:39" x14ac:dyDescent="0.3">
      <c r="A81" s="162"/>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row>
    <row r="82" spans="1:39" x14ac:dyDescent="0.3">
      <c r="A82" s="162"/>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row>
    <row r="83" spans="1:39" x14ac:dyDescent="0.3">
      <c r="A83" s="162"/>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row>
    <row r="84" spans="1:39" x14ac:dyDescent="0.3">
      <c r="A84" s="162"/>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row>
    <row r="85" spans="1:39" x14ac:dyDescent="0.3">
      <c r="A85" s="162"/>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row>
    <row r="86" spans="1:39" x14ac:dyDescent="0.3">
      <c r="A86" s="162"/>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row>
    <row r="87" spans="1:39" x14ac:dyDescent="0.3">
      <c r="A87" s="162"/>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row>
    <row r="88" spans="1:39" x14ac:dyDescent="0.3">
      <c r="A88" s="162"/>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row>
    <row r="89" spans="1:39" x14ac:dyDescent="0.3">
      <c r="A89" s="162"/>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row>
    <row r="90" spans="1:39" x14ac:dyDescent="0.3">
      <c r="A90" s="162"/>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row>
    <row r="91" spans="1:39" x14ac:dyDescent="0.3">
      <c r="A91" s="162"/>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row>
    <row r="92" spans="1:39" x14ac:dyDescent="0.3">
      <c r="A92" s="162"/>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row>
    <row r="93" spans="1:39" x14ac:dyDescent="0.3">
      <c r="A93" s="162"/>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row>
    <row r="94" spans="1:39" x14ac:dyDescent="0.3">
      <c r="A94" s="162"/>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row>
  </sheetData>
  <sheetProtection sheet="1" objects="1" scenarios="1" selectLockedCells="1"/>
  <dataValidations xWindow="920" yWindow="599" count="15">
    <dataValidation type="custom" allowBlank="1" showInputMessage="1" showErrorMessage="1" errorTitle="Error" error="Input MUST BE ONLY INTEGER. " promptTitle="Bank Account" prompt="Enter bank account and it MUST BE ACCURATE if you want to get tax refund. " sqref="C21" xr:uid="{F11DBC10-C5AB-4820-9095-5115E0023711}">
      <formula1>ISNUMBER(C21)</formula1>
    </dataValidation>
    <dataValidation type="list" allowBlank="1" showInputMessage="1" showErrorMessage="1" errorTitle="Error" error="Please select the name of bank based on the selection given. " promptTitle="Bank Details" prompt="Select the Name Of Bank that link to your bank account." sqref="C19" xr:uid="{2B00CB95-F785-4A34-A9EF-24AA2D681004}">
      <formula1>"Maybank, CIMB Bank, Public Bank Berhad, RHB Bank, Hong Leong Bank, AmBank, UOB Malaysia, Bank Rakyat, OCBC Bank, HSBC Bank, Bank Islam Malaysia, Affin Bank, Alliance Bank Malaysia Berhad, Citibank Malaysia, Bank Simpanan Nasional (BSN)"</formula1>
    </dataValidation>
    <dataValidation type="list" allowBlank="1" showInputMessage="1" showErrorMessage="1" errorTitle="Error" error="Please select on the selection given" promptTitle="Disposal of assest" prompt="Select Yes if you have sold any property in the last year." sqref="C16" xr:uid="{889F6D49-6348-4D05-A02E-BBC161B9606F}">
      <formula1>"Yes,  No"</formula1>
    </dataValidation>
    <dataValidation type="custom" allowBlank="1" showInputMessage="1" showErrorMessage="1" errorTitle="Error" error="Enter employer no without E and Only INTEGER" promptTitle="Employer  Identification Number" prompt="Enter without E (10 digit)" sqref="C15" xr:uid="{F2FF46F2-4400-47F3-B008-C1E917E27065}">
      <formula1>AND(LEN(C15)=10, ISNUMBER(C15+0))</formula1>
    </dataValidation>
    <dataValidation allowBlank="1" showInputMessage="1" showErrorMessage="1" prompt="Email Address" sqref="C13:C14" xr:uid="{6923E9AA-3F10-4BF1-B0B0-192307A94CE9}"/>
    <dataValidation type="custom" allowBlank="1" showInputMessage="1" showErrorMessage="1" errorTitle="Error" error="Enter only INTEGER and without &quot;-&quot;. " promptTitle="Telephone No" prompt="Enter telephone number without &quot;-&quot;." sqref="C12" xr:uid="{D62B138B-C61F-48E8-89C5-7C987EF0DCEA}">
      <formula1>AND(EXACT(LEFT(C12,1), "0"), LEN(C12)=10, ISNUMBER(C12+0))</formula1>
    </dataValidation>
    <dataValidation type="custom" allowBlank="1" showInputMessage="1" showErrorMessage="1" errorTitle="Error" error="i) Invalid Handphone Number_x000a_   (Format: 0100000000)_x000a__x000a_ii) Must be the correct handphone number that use to register LHDNM." promptTitle="Handphone Number" prompt="Must be the correct handphone number without &quot;-&quot; that use to register LHDNM previously as LHDN will send a TAC code when you sign and submit the form. _x000a_If handphone number changed, please update at the settings. " sqref="C11" xr:uid="{250F9F28-BB0F-4BA6-B43F-319E3B49F9A4}">
      <formula1>AND(EXACT(LEFT(C11,2), "01"), LEN(C11)=10, ISNUMBER(C11+0))</formula1>
    </dataValidation>
    <dataValidation type="list" allowBlank="1" showInputMessage="1" showErrorMessage="1" errorTitle="Error" error="Please only select the selection given." promptTitle="Citizen" prompt="Select citizen if you are a Malaysian, otherwise select non-citizen." sqref="C5" xr:uid="{3FD8BEE6-F72F-409B-9C81-7B80863AE663}">
      <formula1>"Citizen, Non-Citizen"</formula1>
    </dataValidation>
    <dataValidation type="custom" allowBlank="1" showInputMessage="1" showErrorMessage="1" errorTitle="Error" error="Enter with this format: SG-000000 or OG-000000" promptTitle="Income Tax No" prompt="Enter with SG-000000 or OG-000000" sqref="C3" xr:uid="{F9C043CB-050F-406D-A9A8-C647C196AFD3}">
      <formula1>AND(LEN(C3)=9, OR(COUNTIF(C3, "SG-*"), COUNTIF(C3, "OG-*")))</formula1>
    </dataValidation>
    <dataValidation type="custom" allowBlank="1" showInputMessage="1" showErrorMessage="1" errorTitle="Error" error="IC Number MUST BE INTEGER and without &quot;-&quot;._x000a_" promptTitle="IC Number" prompt="Enter IC number without &quot;-&quot;." sqref="C4" xr:uid="{EC8E59FB-6625-4A04-9E8C-544528FC4055}">
      <formula1>AND(LEN(C4)=12, ISNUMBER(C4+0))</formula1>
    </dataValidation>
    <dataValidation type="custom" allowBlank="1" showInputMessage="1" showErrorMessage="1" errorTitle="Error" error="Invalid Input. Please enter only alphabet. " prompt="Name_x000a_" sqref="C2" xr:uid="{2A48EE4E-9E5E-4813-839A-CA92B55D2EB5}">
      <formula1>OR(C2="", SUMPRODUCT(SEARCH(MID(C2,ROW(INDIRECT("1:"&amp;LEN(C2))),1),"abcdefghijklmnopqrstuvwxyz ")))</formula1>
    </dataValidation>
    <dataValidation type="list" allowBlank="1" showInputMessage="1" showErrorMessage="1" promptTitle="Type of assessment" prompt="Select either one type of assessment (Single, Seperately, Combined) which to determine whether you will be filling  as a single person, or filling together or separately with your spouse. " sqref="C9" xr:uid="{58410E0E-EC91-4795-8D3C-0E3D8518EE7C}">
      <formula1>"Single Assessment, Separate Assessment, Combined Assessment"</formula1>
    </dataValidation>
    <dataValidation type="list" allowBlank="1" showInputMessage="1" showErrorMessage="1" errorTitle="Invalid Input" error="i) Only select either Single, Married, Widowed or Divorced." promptTitle="Marital Status" prompt="Select either one marital status in the list shown. " sqref="C8" xr:uid="{C6409E00-92DB-4DC3-95E9-ED5548CA5B75}">
      <formula1>"Single, Married, widowed, divorced"</formula1>
    </dataValidation>
    <dataValidation type="list" allowBlank="1" showInputMessage="1" showErrorMessage="1" errorTitle="Invalid Input" error="i) Input must be FEMALE or MALE" promptTitle="Gender" prompt="Select whether is female or male." sqref="C6" xr:uid="{10F2DBF3-7EA1-4187-BD9D-330B131E5CD8}">
      <formula1>"Male, Female"</formula1>
    </dataValidation>
    <dataValidation type="custom" allowBlank="1" showInputMessage="1" showErrorMessage="1" errorTitle="Error" error="Input MUST BE ONLY INTEGER. " promptTitle="Bank Account" prompt="Enter bank account and it MUST BE ACCURATE if you want to get tax refund. " sqref="C20" xr:uid="{0FB4EFA4-C115-4530-B3F4-BF83C27D3320}">
      <formula1>ISNUMBER(C20+0)</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2" r:id="rId4" name="DTPicker1">
          <controlPr defaultSize="0" autoLine="0" autoPict="0" r:id="rId5">
            <anchor moveWithCells="1">
              <from>
                <xdr:col>2</xdr:col>
                <xdr:colOff>38100</xdr:colOff>
                <xdr:row>6</xdr:row>
                <xdr:rowOff>38100</xdr:rowOff>
              </from>
              <to>
                <xdr:col>2</xdr:col>
                <xdr:colOff>1962150</xdr:colOff>
                <xdr:row>6</xdr:row>
                <xdr:rowOff>438150</xdr:rowOff>
              </to>
            </anchor>
          </controlPr>
        </control>
      </mc:Choice>
      <mc:Fallback>
        <control shapeId="5122" r:id="rId4" name="DTPicker1"/>
      </mc:Fallback>
    </mc:AlternateContent>
    <mc:AlternateContent xmlns:mc="http://schemas.openxmlformats.org/markup-compatibility/2006">
      <mc:Choice Requires="x14">
        <control shapeId="5127" r:id="rId6" name="next1btn">
          <controlPr defaultSize="0" autoLine="0" r:id="rId7">
            <anchor moveWithCells="1">
              <from>
                <xdr:col>2</xdr:col>
                <xdr:colOff>104775</xdr:colOff>
                <xdr:row>20</xdr:row>
                <xdr:rowOff>57150</xdr:rowOff>
              </from>
              <to>
                <xdr:col>2</xdr:col>
                <xdr:colOff>2571750</xdr:colOff>
                <xdr:row>20</xdr:row>
                <xdr:rowOff>381000</xdr:rowOff>
              </to>
            </anchor>
          </controlPr>
        </control>
      </mc:Choice>
      <mc:Fallback>
        <control shapeId="5127" r:id="rId6" name="next1btn"/>
      </mc:Fallback>
    </mc:AlternateContent>
    <mc:AlternateContent xmlns:mc="http://schemas.openxmlformats.org/markup-compatibility/2006">
      <mc:Choice Requires="x14">
        <control shapeId="5128" r:id="rId8" name="resetbtn">
          <controlPr defaultSize="0" autoLine="0" r:id="rId9">
            <anchor moveWithCells="1">
              <from>
                <xdr:col>1</xdr:col>
                <xdr:colOff>57150</xdr:colOff>
                <xdr:row>20</xdr:row>
                <xdr:rowOff>47625</xdr:rowOff>
              </from>
              <to>
                <xdr:col>1</xdr:col>
                <xdr:colOff>1990725</xdr:colOff>
                <xdr:row>20</xdr:row>
                <xdr:rowOff>390525</xdr:rowOff>
              </to>
            </anchor>
          </controlPr>
        </control>
      </mc:Choice>
      <mc:Fallback>
        <control shapeId="5128" r:id="rId8" name="resetbt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BC33B-A337-4C57-8DB7-A882CEDB7EF5}">
  <sheetPr codeName="Sheet4"/>
  <dimension ref="A1:J17"/>
  <sheetViews>
    <sheetView zoomScale="55" zoomScaleNormal="55" workbookViewId="0">
      <selection activeCell="B2" sqref="B2"/>
    </sheetView>
  </sheetViews>
  <sheetFormatPr defaultRowHeight="21" x14ac:dyDescent="0.35"/>
  <cols>
    <col min="1" max="1" width="75.42578125" style="109" bestFit="1" customWidth="1"/>
    <col min="2" max="2" width="33.85546875" style="109" customWidth="1"/>
    <col min="3" max="3" width="31.28515625" style="109" customWidth="1"/>
    <col min="4" max="16384" width="9.140625" style="109"/>
  </cols>
  <sheetData>
    <row r="1" spans="1:10" ht="37.5" customHeight="1" x14ac:dyDescent="0.35">
      <c r="A1" s="127" t="s">
        <v>9</v>
      </c>
      <c r="B1" s="126"/>
      <c r="C1" s="126"/>
      <c r="E1" s="107"/>
      <c r="F1" s="108"/>
      <c r="G1" s="108"/>
      <c r="H1" s="108"/>
      <c r="I1" s="108"/>
      <c r="J1" s="108"/>
    </row>
    <row r="2" spans="1:10" x14ac:dyDescent="0.35">
      <c r="A2" s="113" t="s">
        <v>10</v>
      </c>
      <c r="B2" s="198"/>
      <c r="C2" s="110">
        <f>B2</f>
        <v>0</v>
      </c>
      <c r="D2" s="107"/>
      <c r="E2" s="107"/>
      <c r="F2" s="108"/>
      <c r="G2" s="108"/>
      <c r="H2" s="108"/>
      <c r="I2" s="108"/>
      <c r="J2" s="108"/>
    </row>
    <row r="3" spans="1:10" x14ac:dyDescent="0.35">
      <c r="A3" s="113"/>
      <c r="B3" s="120"/>
      <c r="C3" s="117"/>
      <c r="D3" s="107"/>
      <c r="E3" s="107"/>
      <c r="F3" s="108"/>
      <c r="G3" s="108"/>
      <c r="H3" s="108"/>
      <c r="I3" s="108"/>
      <c r="J3" s="108"/>
    </row>
    <row r="4" spans="1:10" x14ac:dyDescent="0.35">
      <c r="A4" s="113" t="s">
        <v>11</v>
      </c>
      <c r="B4" s="198"/>
      <c r="C4" s="111">
        <f>B4</f>
        <v>0</v>
      </c>
      <c r="D4" s="107"/>
      <c r="E4" s="107"/>
      <c r="F4" s="108"/>
      <c r="G4" s="108"/>
      <c r="H4" s="108"/>
      <c r="I4" s="108"/>
      <c r="J4" s="108"/>
    </row>
    <row r="5" spans="1:10" x14ac:dyDescent="0.35">
      <c r="A5" s="113"/>
      <c r="B5" s="120"/>
      <c r="C5" s="118"/>
      <c r="D5" s="107"/>
      <c r="E5" s="107"/>
      <c r="F5" s="108"/>
      <c r="G5" s="108"/>
      <c r="H5" s="108"/>
      <c r="I5" s="108"/>
      <c r="J5" s="108"/>
    </row>
    <row r="6" spans="1:10" ht="65.25" customHeight="1" x14ac:dyDescent="0.35">
      <c r="A6" s="114" t="s">
        <v>12</v>
      </c>
      <c r="B6" s="198"/>
      <c r="C6" s="111">
        <f>B6</f>
        <v>0</v>
      </c>
      <c r="D6" s="107"/>
      <c r="E6" s="107"/>
      <c r="F6" s="108"/>
      <c r="G6" s="108"/>
      <c r="H6" s="108"/>
      <c r="I6" s="108"/>
      <c r="J6" s="108"/>
    </row>
    <row r="7" spans="1:10" x14ac:dyDescent="0.35">
      <c r="A7" s="115"/>
      <c r="B7" s="120"/>
      <c r="C7" s="119"/>
      <c r="D7" s="107"/>
      <c r="E7" s="107"/>
      <c r="F7" s="108"/>
      <c r="G7" s="108"/>
      <c r="H7" s="108"/>
      <c r="I7" s="108"/>
      <c r="J7" s="108"/>
    </row>
    <row r="8" spans="1:10" ht="42.75" customHeight="1" x14ac:dyDescent="0.35">
      <c r="A8" s="131" t="s">
        <v>13</v>
      </c>
      <c r="B8" s="132"/>
      <c r="C8" s="133">
        <f>SUM(C2:C6)</f>
        <v>0</v>
      </c>
      <c r="D8" s="107"/>
      <c r="E8" s="107"/>
      <c r="F8" s="108"/>
      <c r="G8" s="108"/>
      <c r="H8" s="108"/>
      <c r="I8" s="108"/>
      <c r="J8" s="108"/>
    </row>
    <row r="9" spans="1:10" x14ac:dyDescent="0.35">
      <c r="A9" s="116"/>
      <c r="B9" s="121"/>
      <c r="C9" s="122"/>
      <c r="D9" s="107"/>
      <c r="E9" s="107"/>
      <c r="F9" s="108"/>
      <c r="G9" s="108"/>
      <c r="H9" s="108"/>
      <c r="I9" s="108"/>
      <c r="J9" s="108"/>
    </row>
    <row r="10" spans="1:10" x14ac:dyDescent="0.35">
      <c r="A10" s="113" t="s">
        <v>14</v>
      </c>
      <c r="B10" s="198"/>
      <c r="C10" s="111">
        <f>B10</f>
        <v>0</v>
      </c>
      <c r="D10" s="107"/>
      <c r="E10" s="107"/>
      <c r="F10" s="108"/>
      <c r="G10" s="108"/>
      <c r="H10" s="108"/>
      <c r="I10" s="108"/>
      <c r="J10" s="108"/>
    </row>
    <row r="11" spans="1:10" x14ac:dyDescent="0.35">
      <c r="A11" s="113"/>
      <c r="B11" s="121"/>
      <c r="C11" s="119"/>
      <c r="D11" s="107"/>
      <c r="E11" s="107"/>
      <c r="F11" s="108"/>
      <c r="G11" s="108"/>
      <c r="H11" s="108"/>
      <c r="I11" s="108"/>
      <c r="J11" s="108"/>
    </row>
    <row r="12" spans="1:10" ht="39" customHeight="1" x14ac:dyDescent="0.35">
      <c r="A12" s="131" t="s">
        <v>15</v>
      </c>
      <c r="B12" s="132"/>
      <c r="C12" s="136">
        <f>C8+C10</f>
        <v>0</v>
      </c>
      <c r="E12" s="107"/>
      <c r="F12" s="108"/>
      <c r="G12" s="108"/>
      <c r="H12" s="108"/>
      <c r="I12" s="108"/>
      <c r="J12" s="108"/>
    </row>
    <row r="13" spans="1:10" x14ac:dyDescent="0.35">
      <c r="A13" s="116"/>
      <c r="B13" s="121"/>
      <c r="C13" s="123"/>
      <c r="D13" s="107"/>
      <c r="E13" s="107"/>
      <c r="F13" s="108"/>
      <c r="G13" s="108"/>
      <c r="H13" s="108"/>
      <c r="I13" s="108"/>
      <c r="J13" s="108"/>
    </row>
    <row r="14" spans="1:10" x14ac:dyDescent="0.35">
      <c r="A14" s="113" t="s">
        <v>16</v>
      </c>
      <c r="B14" s="199"/>
      <c r="C14" s="112">
        <f>B14</f>
        <v>0</v>
      </c>
      <c r="D14" s="108"/>
      <c r="E14" s="108"/>
      <c r="F14" s="108"/>
      <c r="G14" s="108"/>
      <c r="H14" s="108"/>
      <c r="I14" s="108"/>
      <c r="J14" s="108"/>
    </row>
    <row r="15" spans="1:10" ht="21.75" thickBot="1" x14ac:dyDescent="0.4">
      <c r="A15" s="113"/>
      <c r="B15" s="125"/>
      <c r="C15" s="124"/>
      <c r="D15" s="108"/>
      <c r="E15" s="108"/>
      <c r="F15" s="108"/>
      <c r="G15" s="108"/>
      <c r="H15" s="108"/>
      <c r="I15" s="108"/>
      <c r="J15" s="108"/>
    </row>
    <row r="16" spans="1:10" ht="51" customHeight="1" x14ac:dyDescent="0.35">
      <c r="A16" s="131" t="s">
        <v>17</v>
      </c>
      <c r="B16" s="134"/>
      <c r="C16" s="135">
        <f>C12-C14</f>
        <v>0</v>
      </c>
      <c r="D16" s="108"/>
      <c r="E16" s="108"/>
      <c r="F16" s="108"/>
      <c r="G16" s="108"/>
      <c r="H16" s="108"/>
      <c r="I16" s="108"/>
      <c r="J16" s="108"/>
    </row>
    <row r="17" spans="3:3" ht="41.25" customHeight="1" x14ac:dyDescent="0.35">
      <c r="C17" s="16"/>
    </row>
  </sheetData>
  <sheetProtection sheet="1" objects="1" scenarios="1" selectLockedCells="1"/>
  <dataValidations count="4">
    <dataValidation type="custom" allowBlank="1" showInputMessage="1" showErrorMessage="1" sqref="B3" xr:uid="{75707EDC-4AE4-4FE1-AD46-80D9F09359D0}">
      <formula1>ISNUMBER(B3)</formula1>
    </dataValidation>
    <dataValidation type="custom" allowBlank="1" showInputMessage="1" showErrorMessage="1" errorTitle="Error" error="Input amount MUST BE NUMBER" sqref="B14" xr:uid="{A3DCCA9D-7F74-42FF-917B-C3B0B4BE26C4}">
      <formula1>ISNUMBER(B14)</formula1>
    </dataValidation>
    <dataValidation type="custom" allowBlank="1" showInputMessage="1" showErrorMessage="1" errorTitle="Error" error="Input amount MUST BE NUMBER." sqref="B10 B4 B6" xr:uid="{646C6436-DAA3-41CA-B007-23CDC34F15A2}">
      <formula1>ISNUMBER(B4)</formula1>
    </dataValidation>
    <dataValidation type="custom" allowBlank="1" showInputMessage="1" showErrorMessage="1" errorTitle="Error" error="Input amount MUST BE NUMBER." prompt="Minimum required yearly income to pay for income tax is RM 34001" sqref="B2" xr:uid="{82EF95FD-52EB-471E-B1D0-0CC9EA28D976}">
      <formula1>ISNUMBER(B2)</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6146" r:id="rId4" name="next2btn">
          <controlPr defaultSize="0" autoLine="0" autoPict="0" r:id="rId5">
            <anchor moveWithCells="1">
              <from>
                <xdr:col>2</xdr:col>
                <xdr:colOff>19050</xdr:colOff>
                <xdr:row>16</xdr:row>
                <xdr:rowOff>123825</xdr:rowOff>
              </from>
              <to>
                <xdr:col>2</xdr:col>
                <xdr:colOff>2028825</xdr:colOff>
                <xdr:row>16</xdr:row>
                <xdr:rowOff>466725</xdr:rowOff>
              </to>
            </anchor>
          </controlPr>
        </control>
      </mc:Choice>
      <mc:Fallback>
        <control shapeId="6146" r:id="rId4" name="next2btn"/>
      </mc:Fallback>
    </mc:AlternateContent>
    <mc:AlternateContent xmlns:mc="http://schemas.openxmlformats.org/markup-compatibility/2006">
      <mc:Choice Requires="x14">
        <control shapeId="6147" r:id="rId6" name="backl2btn">
          <controlPr defaultSize="0" autoLine="0" r:id="rId7">
            <anchor moveWithCells="1">
              <from>
                <xdr:col>1</xdr:col>
                <xdr:colOff>104775</xdr:colOff>
                <xdr:row>16</xdr:row>
                <xdr:rowOff>152400</xdr:rowOff>
              </from>
              <to>
                <xdr:col>1</xdr:col>
                <xdr:colOff>1876425</xdr:colOff>
                <xdr:row>16</xdr:row>
                <xdr:rowOff>476250</xdr:rowOff>
              </to>
            </anchor>
          </controlPr>
        </control>
      </mc:Choice>
      <mc:Fallback>
        <control shapeId="6147" r:id="rId6" name="backl2btn"/>
      </mc:Fallback>
    </mc:AlternateContent>
    <mc:AlternateContent xmlns:mc="http://schemas.openxmlformats.org/markup-compatibility/2006">
      <mc:Choice Requires="x14">
        <control shapeId="6148" r:id="rId8" name="cancel2btn">
          <controlPr defaultSize="0" autoLine="0" r:id="rId9">
            <anchor moveWithCells="1">
              <from>
                <xdr:col>3</xdr:col>
                <xdr:colOff>57150</xdr:colOff>
                <xdr:row>16</xdr:row>
                <xdr:rowOff>123825</xdr:rowOff>
              </from>
              <to>
                <xdr:col>5</xdr:col>
                <xdr:colOff>600075</xdr:colOff>
                <xdr:row>16</xdr:row>
                <xdr:rowOff>457200</xdr:rowOff>
              </to>
            </anchor>
          </controlPr>
        </control>
      </mc:Choice>
      <mc:Fallback>
        <control shapeId="6148" r:id="rId8" name="cancel2bt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7107-75F8-411B-8586-755287B16E19}">
  <sheetPr codeName="Sheet3"/>
  <dimension ref="A1:K104"/>
  <sheetViews>
    <sheetView zoomScale="50" zoomScaleNormal="50" zoomScaleSheetLayoutView="50" workbookViewId="0">
      <selection activeCell="C14" sqref="C14"/>
    </sheetView>
  </sheetViews>
  <sheetFormatPr defaultRowHeight="20.25" x14ac:dyDescent="0.3"/>
  <cols>
    <col min="1" max="1" width="4.5703125" style="34" customWidth="1"/>
    <col min="2" max="2" width="106.28515625" style="14" customWidth="1"/>
    <col min="3" max="3" width="33.5703125" style="13" customWidth="1"/>
    <col min="4" max="4" width="32.5703125" style="13" customWidth="1"/>
    <col min="5" max="5" width="30.5703125" style="14" customWidth="1"/>
    <col min="6" max="10" width="9.140625" style="14"/>
    <col min="11" max="11" width="12.85546875" style="14" customWidth="1"/>
    <col min="12" max="16384" width="9.140625" style="14"/>
  </cols>
  <sheetData>
    <row r="1" spans="1:11" ht="39.75" customHeight="1" x14ac:dyDescent="0.3">
      <c r="A1" s="211" t="s">
        <v>73</v>
      </c>
      <c r="B1" s="211"/>
      <c r="C1" s="43"/>
      <c r="D1" s="43"/>
    </row>
    <row r="2" spans="1:11" s="16" customFormat="1" ht="21" customHeight="1" x14ac:dyDescent="0.3">
      <c r="A2" s="15"/>
      <c r="B2" s="15"/>
      <c r="C2" s="4"/>
      <c r="D2" s="4"/>
    </row>
    <row r="3" spans="1:11" x14ac:dyDescent="0.3">
      <c r="A3" s="17">
        <v>1</v>
      </c>
      <c r="B3" s="18" t="s">
        <v>109</v>
      </c>
      <c r="C3" s="19" t="s">
        <v>62</v>
      </c>
      <c r="D3" s="7" t="s">
        <v>72</v>
      </c>
    </row>
    <row r="4" spans="1:11" ht="27.75" customHeight="1" x14ac:dyDescent="0.3">
      <c r="A4" s="20" t="s">
        <v>56</v>
      </c>
      <c r="B4" s="21" t="s">
        <v>18</v>
      </c>
      <c r="C4" s="9"/>
      <c r="D4" s="6">
        <v>9000</v>
      </c>
    </row>
    <row r="5" spans="1:11" x14ac:dyDescent="0.3">
      <c r="A5" s="20"/>
      <c r="B5" s="21"/>
      <c r="C5" s="9"/>
      <c r="D5" s="6"/>
    </row>
    <row r="6" spans="1:11" s="16" customFormat="1" ht="24.75" customHeight="1" x14ac:dyDescent="0.3">
      <c r="A6" s="22" t="s">
        <v>57</v>
      </c>
      <c r="B6" s="23" t="s">
        <v>37</v>
      </c>
      <c r="C6" s="200"/>
      <c r="D6" s="8">
        <f>C6</f>
        <v>0</v>
      </c>
    </row>
    <row r="7" spans="1:11" s="16" customFormat="1" x14ac:dyDescent="0.3">
      <c r="A7" s="22"/>
      <c r="B7" s="21" t="s">
        <v>38</v>
      </c>
      <c r="C7" s="9"/>
      <c r="D7" s="6"/>
    </row>
    <row r="8" spans="1:11" s="16" customFormat="1" x14ac:dyDescent="0.3">
      <c r="A8" s="22"/>
      <c r="B8" s="21"/>
      <c r="C8" s="24"/>
      <c r="D8" s="25"/>
    </row>
    <row r="9" spans="1:11" s="16" customFormat="1" x14ac:dyDescent="0.3">
      <c r="A9" s="22"/>
      <c r="B9" s="26" t="s">
        <v>35</v>
      </c>
      <c r="C9" s="24"/>
      <c r="D9" s="25"/>
    </row>
    <row r="10" spans="1:11" s="16" customFormat="1" x14ac:dyDescent="0.3">
      <c r="A10" s="22"/>
      <c r="B10" s="26"/>
      <c r="C10" s="24"/>
      <c r="D10" s="25"/>
    </row>
    <row r="11" spans="1:11" s="16" customFormat="1" ht="38.25" customHeight="1" x14ac:dyDescent="0.3">
      <c r="A11" s="22"/>
      <c r="B11" s="106" t="s">
        <v>36</v>
      </c>
      <c r="C11" s="201" t="s">
        <v>111</v>
      </c>
      <c r="D11" s="6"/>
    </row>
    <row r="12" spans="1:11" s="16" customFormat="1" ht="35.25" customHeight="1" x14ac:dyDescent="0.3">
      <c r="A12" s="22"/>
      <c r="B12" s="27" t="s">
        <v>63</v>
      </c>
      <c r="C12" s="188"/>
      <c r="D12" s="8">
        <f>IF(OR(D6&gt;0,C12=0),0,IF(C11="Both Parent",3000/C12,IF(C11="One Parent",1500/C12,0)))</f>
        <v>0</v>
      </c>
    </row>
    <row r="13" spans="1:11" s="16" customFormat="1" ht="30.75" customHeight="1" x14ac:dyDescent="0.3">
      <c r="A13" s="22"/>
      <c r="B13" s="28"/>
      <c r="C13" s="29"/>
      <c r="D13" s="30"/>
    </row>
    <row r="14" spans="1:11" s="16" customFormat="1" ht="30.75" customHeight="1" x14ac:dyDescent="0.3">
      <c r="A14" s="20" t="s">
        <v>58</v>
      </c>
      <c r="B14" s="23" t="s">
        <v>30</v>
      </c>
      <c r="C14" s="202"/>
      <c r="D14" s="8">
        <f>C14</f>
        <v>0</v>
      </c>
    </row>
    <row r="15" spans="1:11" s="16" customFormat="1" ht="30.75" customHeight="1" x14ac:dyDescent="0.3">
      <c r="A15" s="31"/>
      <c r="B15" s="32"/>
      <c r="C15" s="92"/>
      <c r="D15" s="49"/>
    </row>
    <row r="16" spans="1:11" ht="35.25" customHeight="1" x14ac:dyDescent="0.3">
      <c r="A16" s="17"/>
      <c r="B16" s="137" t="s">
        <v>79</v>
      </c>
      <c r="C16" s="138"/>
      <c r="D16" s="139">
        <f>SUM(D4+D6+D12+D14)</f>
        <v>9000</v>
      </c>
      <c r="E16" s="16"/>
      <c r="F16" s="16"/>
      <c r="G16" s="16"/>
      <c r="J16" s="33"/>
      <c r="K16" s="33"/>
    </row>
    <row r="17" spans="1:11" x14ac:dyDescent="0.3">
      <c r="J17" s="33"/>
      <c r="K17" s="33"/>
    </row>
    <row r="19" spans="1:11" x14ac:dyDescent="0.3">
      <c r="A19" s="35">
        <v>2</v>
      </c>
      <c r="B19" s="18" t="s">
        <v>48</v>
      </c>
      <c r="C19" s="19"/>
      <c r="D19" s="7"/>
    </row>
    <row r="20" spans="1:11" ht="27.75" customHeight="1" x14ac:dyDescent="0.3">
      <c r="A20" s="36" t="s">
        <v>56</v>
      </c>
      <c r="B20" s="21" t="s">
        <v>80</v>
      </c>
      <c r="C20" s="200"/>
      <c r="D20" s="8">
        <f>C20</f>
        <v>0</v>
      </c>
    </row>
    <row r="21" spans="1:11" ht="66.75" customHeight="1" x14ac:dyDescent="0.3">
      <c r="A21" s="36"/>
      <c r="B21" s="37" t="s">
        <v>45</v>
      </c>
      <c r="C21" s="38"/>
      <c r="D21" s="6"/>
    </row>
    <row r="22" spans="1:11" ht="30.75" customHeight="1" x14ac:dyDescent="0.3">
      <c r="A22" s="36"/>
      <c r="B22" s="37" t="s">
        <v>46</v>
      </c>
      <c r="C22" s="38"/>
      <c r="D22" s="6"/>
    </row>
    <row r="23" spans="1:11" s="16" customFormat="1" x14ac:dyDescent="0.3">
      <c r="A23" s="39"/>
      <c r="B23" s="40"/>
      <c r="C23" s="41"/>
      <c r="D23" s="12"/>
    </row>
    <row r="25" spans="1:11" x14ac:dyDescent="0.3">
      <c r="A25" s="35">
        <v>3</v>
      </c>
      <c r="B25" s="18" t="s">
        <v>49</v>
      </c>
      <c r="C25" s="42"/>
      <c r="D25" s="43"/>
    </row>
    <row r="26" spans="1:11" x14ac:dyDescent="0.3">
      <c r="A26" s="36" t="s">
        <v>56</v>
      </c>
      <c r="B26" s="21" t="s">
        <v>21</v>
      </c>
      <c r="C26" s="203"/>
      <c r="D26" s="44">
        <f>C26</f>
        <v>0</v>
      </c>
    </row>
    <row r="27" spans="1:11" x14ac:dyDescent="0.3">
      <c r="A27" s="36"/>
      <c r="B27" s="21"/>
      <c r="C27" s="45"/>
      <c r="D27" s="46"/>
    </row>
    <row r="28" spans="1:11" x14ac:dyDescent="0.3">
      <c r="A28" s="36" t="s">
        <v>57</v>
      </c>
      <c r="B28" s="21" t="s">
        <v>22</v>
      </c>
      <c r="C28" s="203"/>
      <c r="D28" s="44">
        <f>C28</f>
        <v>0</v>
      </c>
    </row>
    <row r="29" spans="1:11" x14ac:dyDescent="0.3">
      <c r="A29" s="36"/>
      <c r="B29" s="21"/>
      <c r="C29" s="45"/>
      <c r="D29" s="46"/>
    </row>
    <row r="30" spans="1:11" x14ac:dyDescent="0.3">
      <c r="A30" s="36" t="s">
        <v>58</v>
      </c>
      <c r="B30" s="21" t="s">
        <v>23</v>
      </c>
      <c r="C30" s="203"/>
      <c r="D30" s="44">
        <f>C30</f>
        <v>0</v>
      </c>
    </row>
    <row r="31" spans="1:11" x14ac:dyDescent="0.3">
      <c r="A31" s="31"/>
      <c r="B31" s="47"/>
      <c r="C31" s="48"/>
      <c r="D31" s="49"/>
    </row>
    <row r="32" spans="1:11" ht="35.25" customHeight="1" x14ac:dyDescent="0.3">
      <c r="A32" s="17"/>
      <c r="B32" s="18" t="s">
        <v>81</v>
      </c>
      <c r="C32" s="140"/>
      <c r="D32" s="7">
        <f>SUM(C26,C28,C30)</f>
        <v>0</v>
      </c>
      <c r="E32" s="13"/>
    </row>
    <row r="33" spans="1:5" s="16" customFormat="1" x14ac:dyDescent="0.3">
      <c r="A33" s="50"/>
      <c r="B33" s="51"/>
      <c r="C33" s="52"/>
      <c r="D33" s="12"/>
      <c r="E33" s="4"/>
    </row>
    <row r="35" spans="1:5" x14ac:dyDescent="0.3">
      <c r="A35" s="35">
        <v>4</v>
      </c>
      <c r="B35" s="18" t="s">
        <v>40</v>
      </c>
      <c r="C35" s="19"/>
      <c r="D35" s="53"/>
    </row>
    <row r="36" spans="1:5" ht="32.25" customHeight="1" x14ac:dyDescent="0.3">
      <c r="A36" s="36" t="s">
        <v>56</v>
      </c>
      <c r="B36" s="21" t="s">
        <v>39</v>
      </c>
      <c r="C36" s="200"/>
      <c r="D36" s="44">
        <f>C36</f>
        <v>0</v>
      </c>
    </row>
    <row r="37" spans="1:5" ht="99" customHeight="1" x14ac:dyDescent="0.3">
      <c r="A37" s="36"/>
      <c r="B37" s="37" t="s">
        <v>64</v>
      </c>
      <c r="C37" s="38"/>
      <c r="D37" s="54"/>
    </row>
    <row r="38" spans="1:5" ht="70.5" customHeight="1" x14ac:dyDescent="0.3">
      <c r="A38" s="36"/>
      <c r="B38" s="55" t="s">
        <v>65</v>
      </c>
      <c r="C38" s="56"/>
      <c r="D38" s="57"/>
    </row>
    <row r="39" spans="1:5" ht="36" customHeight="1" x14ac:dyDescent="0.3">
      <c r="A39" s="36"/>
      <c r="B39" s="55" t="s">
        <v>66</v>
      </c>
      <c r="C39" s="56"/>
      <c r="D39" s="57"/>
    </row>
    <row r="40" spans="1:5" x14ac:dyDescent="0.3">
      <c r="A40" s="36"/>
      <c r="B40" s="21"/>
      <c r="C40" s="9"/>
      <c r="D40" s="46"/>
    </row>
    <row r="41" spans="1:5" ht="26.25" customHeight="1" x14ac:dyDescent="0.3">
      <c r="A41" s="36" t="s">
        <v>57</v>
      </c>
      <c r="B41" s="21" t="s">
        <v>82</v>
      </c>
      <c r="C41" s="9"/>
      <c r="D41" s="46"/>
    </row>
    <row r="42" spans="1:5" ht="74.25" customHeight="1" x14ac:dyDescent="0.3">
      <c r="A42" s="36"/>
      <c r="B42" s="58" t="s">
        <v>108</v>
      </c>
      <c r="C42" s="200"/>
      <c r="D42" s="44">
        <f>C42</f>
        <v>0</v>
      </c>
    </row>
    <row r="43" spans="1:5" x14ac:dyDescent="0.3">
      <c r="A43" s="36"/>
      <c r="B43" s="21"/>
      <c r="C43" s="9"/>
      <c r="D43" s="46"/>
    </row>
    <row r="44" spans="1:5" ht="40.5" x14ac:dyDescent="0.3">
      <c r="A44" s="59" t="s">
        <v>58</v>
      </c>
      <c r="B44" s="60" t="s">
        <v>34</v>
      </c>
      <c r="C44" s="204"/>
      <c r="D44" s="61">
        <f>C44</f>
        <v>0</v>
      </c>
    </row>
    <row r="45" spans="1:5" x14ac:dyDescent="0.3">
      <c r="A45" s="62"/>
      <c r="B45" s="63"/>
      <c r="C45" s="64"/>
      <c r="D45" s="65"/>
    </row>
    <row r="46" spans="1:5" ht="35.25" customHeight="1" x14ac:dyDescent="0.3">
      <c r="A46" s="141"/>
      <c r="B46" s="142" t="s">
        <v>81</v>
      </c>
      <c r="C46" s="143"/>
      <c r="D46" s="144">
        <f>SUM(D36,D42,D44)</f>
        <v>0</v>
      </c>
    </row>
    <row r="47" spans="1:5" s="16" customFormat="1" x14ac:dyDescent="0.3">
      <c r="A47" s="66"/>
      <c r="B47" s="67"/>
      <c r="C47" s="68"/>
      <c r="D47" s="68"/>
    </row>
    <row r="49" spans="1:4" x14ac:dyDescent="0.3">
      <c r="A49" s="35">
        <v>5</v>
      </c>
      <c r="B49" s="18" t="s">
        <v>50</v>
      </c>
      <c r="C49" s="19"/>
      <c r="D49" s="53"/>
    </row>
    <row r="50" spans="1:4" ht="44.25" customHeight="1" x14ac:dyDescent="0.3">
      <c r="A50" s="36" t="s">
        <v>56</v>
      </c>
      <c r="B50" s="69" t="s">
        <v>41</v>
      </c>
      <c r="C50" s="205"/>
      <c r="D50" s="70">
        <f>C50</f>
        <v>0</v>
      </c>
    </row>
    <row r="51" spans="1:4" x14ac:dyDescent="0.3">
      <c r="A51" s="36"/>
      <c r="B51" s="58" t="s">
        <v>55</v>
      </c>
      <c r="C51" s="71"/>
      <c r="D51" s="72"/>
    </row>
    <row r="52" spans="1:4" x14ac:dyDescent="0.3">
      <c r="A52" s="36"/>
      <c r="B52" s="21"/>
      <c r="C52" s="9"/>
      <c r="D52" s="46"/>
    </row>
    <row r="53" spans="1:4" ht="40.5" customHeight="1" x14ac:dyDescent="0.3">
      <c r="A53" s="36" t="s">
        <v>57</v>
      </c>
      <c r="B53" s="73" t="s">
        <v>29</v>
      </c>
      <c r="C53" s="206"/>
      <c r="D53" s="74">
        <f>C53</f>
        <v>0</v>
      </c>
    </row>
    <row r="54" spans="1:4" x14ac:dyDescent="0.3">
      <c r="A54" s="36"/>
      <c r="B54" s="21"/>
      <c r="C54" s="9"/>
      <c r="D54" s="46"/>
    </row>
    <row r="55" spans="1:4" x14ac:dyDescent="0.3">
      <c r="A55" s="36" t="s">
        <v>58</v>
      </c>
      <c r="B55" s="28" t="s">
        <v>53</v>
      </c>
      <c r="C55" s="207"/>
      <c r="D55" s="75">
        <f>C55</f>
        <v>0</v>
      </c>
    </row>
    <row r="56" spans="1:4" x14ac:dyDescent="0.3">
      <c r="A56" s="36"/>
      <c r="B56" s="28" t="s">
        <v>54</v>
      </c>
      <c r="C56" s="76"/>
      <c r="D56" s="77"/>
    </row>
    <row r="57" spans="1:4" ht="23.25" customHeight="1" x14ac:dyDescent="0.3">
      <c r="A57" s="36"/>
      <c r="B57" s="21"/>
      <c r="C57" s="9"/>
      <c r="D57" s="46"/>
    </row>
    <row r="58" spans="1:4" x14ac:dyDescent="0.3">
      <c r="A58" s="36" t="s">
        <v>59</v>
      </c>
      <c r="B58" s="23" t="s">
        <v>83</v>
      </c>
      <c r="C58" s="208"/>
      <c r="D58" s="78">
        <f>C58*2000</f>
        <v>0</v>
      </c>
    </row>
    <row r="59" spans="1:4" ht="25.5" customHeight="1" x14ac:dyDescent="0.3">
      <c r="A59" s="36"/>
      <c r="B59" s="21"/>
      <c r="C59" s="9"/>
      <c r="D59" s="46"/>
    </row>
    <row r="60" spans="1:4" ht="37.5" customHeight="1" x14ac:dyDescent="0.3">
      <c r="A60" s="59" t="s">
        <v>60</v>
      </c>
      <c r="B60" s="69" t="s">
        <v>105</v>
      </c>
      <c r="C60" s="209"/>
      <c r="D60" s="70">
        <f>C60*2000</f>
        <v>0</v>
      </c>
    </row>
    <row r="61" spans="1:4" x14ac:dyDescent="0.3">
      <c r="A61" s="36"/>
      <c r="B61" s="69"/>
      <c r="C61" s="79"/>
      <c r="D61" s="80"/>
    </row>
    <row r="62" spans="1:4" ht="36.75" customHeight="1" x14ac:dyDescent="0.3">
      <c r="A62" s="36" t="s">
        <v>61</v>
      </c>
      <c r="B62" s="23" t="s">
        <v>106</v>
      </c>
      <c r="C62" s="208"/>
      <c r="D62" s="78">
        <f>C62*8000</f>
        <v>0</v>
      </c>
    </row>
    <row r="63" spans="1:4" ht="48.75" customHeight="1" x14ac:dyDescent="0.3">
      <c r="A63" s="36"/>
      <c r="B63" s="55" t="s">
        <v>42</v>
      </c>
      <c r="C63" s="56"/>
      <c r="D63" s="57"/>
    </row>
    <row r="64" spans="1:4" ht="48.75" customHeight="1" x14ac:dyDescent="0.3">
      <c r="A64" s="36"/>
      <c r="B64" s="37" t="s">
        <v>43</v>
      </c>
      <c r="C64" s="38"/>
      <c r="D64" s="54"/>
    </row>
    <row r="65" spans="1:5" ht="54" customHeight="1" x14ac:dyDescent="0.3">
      <c r="A65" s="36"/>
      <c r="B65" s="37" t="s">
        <v>44</v>
      </c>
      <c r="C65" s="38"/>
      <c r="D65" s="54"/>
    </row>
    <row r="66" spans="1:5" ht="39" customHeight="1" x14ac:dyDescent="0.3">
      <c r="A66" s="31"/>
      <c r="B66" s="81"/>
      <c r="C66" s="82"/>
      <c r="D66" s="83"/>
    </row>
    <row r="67" spans="1:5" ht="34.5" customHeight="1" x14ac:dyDescent="0.3">
      <c r="A67" s="35"/>
      <c r="B67" s="86" t="s">
        <v>79</v>
      </c>
      <c r="C67" s="145"/>
      <c r="D67" s="146">
        <f>SUM(D50,D53,D55,D58,D60,D62)</f>
        <v>0</v>
      </c>
    </row>
    <row r="68" spans="1:5" s="16" customFormat="1" ht="40.5" customHeight="1" x14ac:dyDescent="0.3">
      <c r="A68" s="39"/>
      <c r="B68" s="84"/>
      <c r="C68" s="41"/>
      <c r="D68" s="85"/>
    </row>
    <row r="70" spans="1:5" x14ac:dyDescent="0.3">
      <c r="A70" s="35">
        <v>6</v>
      </c>
      <c r="B70" s="86" t="s">
        <v>51</v>
      </c>
      <c r="C70" s="87"/>
      <c r="D70" s="88"/>
    </row>
    <row r="71" spans="1:5" ht="27.75" customHeight="1" x14ac:dyDescent="0.3">
      <c r="A71" s="36" t="s">
        <v>56</v>
      </c>
      <c r="B71" s="23" t="s">
        <v>74</v>
      </c>
      <c r="C71" s="89"/>
      <c r="D71" s="90"/>
    </row>
    <row r="72" spans="1:5" ht="28.5" customHeight="1" x14ac:dyDescent="0.3">
      <c r="A72" s="36"/>
      <c r="B72" s="26" t="s">
        <v>70</v>
      </c>
      <c r="C72" s="79"/>
      <c r="D72" s="80"/>
    </row>
    <row r="73" spans="1:5" ht="30.75" customHeight="1" x14ac:dyDescent="0.3">
      <c r="A73" s="36"/>
      <c r="B73" s="26" t="s">
        <v>71</v>
      </c>
      <c r="C73" s="205"/>
      <c r="D73" s="210">
        <f>SUM(C73,C75,C77)</f>
        <v>0</v>
      </c>
      <c r="E73" s="91"/>
    </row>
    <row r="74" spans="1:5" ht="32.25" customHeight="1" x14ac:dyDescent="0.3">
      <c r="A74" s="36"/>
      <c r="B74" s="69" t="s">
        <v>67</v>
      </c>
      <c r="C74" s="79"/>
      <c r="D74" s="210"/>
    </row>
    <row r="75" spans="1:5" ht="32.25" customHeight="1" x14ac:dyDescent="0.3">
      <c r="A75" s="36"/>
      <c r="B75" s="26" t="s">
        <v>68</v>
      </c>
      <c r="C75" s="205"/>
      <c r="D75" s="210"/>
    </row>
    <row r="76" spans="1:5" x14ac:dyDescent="0.3">
      <c r="A76" s="36"/>
      <c r="B76" s="26"/>
      <c r="C76" s="79"/>
      <c r="D76" s="210"/>
    </row>
    <row r="77" spans="1:5" ht="29.25" customHeight="1" x14ac:dyDescent="0.3">
      <c r="A77" s="36"/>
      <c r="B77" s="26" t="s">
        <v>69</v>
      </c>
      <c r="C77" s="205"/>
      <c r="D77" s="210"/>
    </row>
    <row r="78" spans="1:5" x14ac:dyDescent="0.3">
      <c r="A78" s="36"/>
      <c r="B78" s="26"/>
      <c r="C78" s="79"/>
      <c r="D78" s="80"/>
    </row>
    <row r="79" spans="1:5" x14ac:dyDescent="0.3">
      <c r="A79" s="36"/>
      <c r="B79" s="69"/>
      <c r="C79" s="79"/>
      <c r="D79" s="80"/>
    </row>
    <row r="80" spans="1:5" x14ac:dyDescent="0.3">
      <c r="A80" s="36" t="s">
        <v>57</v>
      </c>
      <c r="B80" s="23" t="s">
        <v>32</v>
      </c>
      <c r="C80" s="202"/>
      <c r="D80" s="78">
        <f>C80</f>
        <v>0</v>
      </c>
    </row>
    <row r="81" spans="1:4" x14ac:dyDescent="0.3">
      <c r="A81" s="36"/>
      <c r="B81" s="23"/>
      <c r="C81" s="89"/>
      <c r="D81" s="90"/>
    </row>
    <row r="82" spans="1:4" x14ac:dyDescent="0.3">
      <c r="A82" s="36" t="s">
        <v>58</v>
      </c>
      <c r="B82" s="23" t="s">
        <v>75</v>
      </c>
      <c r="C82" s="202"/>
      <c r="D82" s="78">
        <f>C82</f>
        <v>0</v>
      </c>
    </row>
    <row r="83" spans="1:4" x14ac:dyDescent="0.3">
      <c r="A83" s="36"/>
      <c r="B83" s="23"/>
      <c r="C83" s="89"/>
      <c r="D83" s="90"/>
    </row>
    <row r="84" spans="1:4" x14ac:dyDescent="0.3">
      <c r="A84" s="36" t="s">
        <v>59</v>
      </c>
      <c r="B84" s="23" t="s">
        <v>33</v>
      </c>
      <c r="C84" s="202"/>
      <c r="D84" s="78">
        <f>C84</f>
        <v>0</v>
      </c>
    </row>
    <row r="85" spans="1:4" x14ac:dyDescent="0.3">
      <c r="A85" s="31"/>
      <c r="B85" s="32"/>
      <c r="C85" s="92"/>
      <c r="D85" s="93"/>
    </row>
    <row r="86" spans="1:4" ht="35.25" customHeight="1" x14ac:dyDescent="0.3">
      <c r="A86" s="35"/>
      <c r="B86" s="147" t="s">
        <v>79</v>
      </c>
      <c r="C86" s="148"/>
      <c r="D86" s="149">
        <f>SUM(D73,D80,D82,D84)</f>
        <v>0</v>
      </c>
    </row>
    <row r="87" spans="1:4" s="16" customFormat="1" x14ac:dyDescent="0.3">
      <c r="A87" s="39"/>
      <c r="B87" s="94"/>
      <c r="C87" s="95"/>
      <c r="D87" s="96"/>
    </row>
    <row r="88" spans="1:4" x14ac:dyDescent="0.3">
      <c r="B88" s="16"/>
      <c r="C88" s="4"/>
    </row>
    <row r="89" spans="1:4" x14ac:dyDescent="0.3">
      <c r="A89" s="35">
        <v>7</v>
      </c>
      <c r="B89" s="18" t="s">
        <v>52</v>
      </c>
      <c r="C89" s="19"/>
      <c r="D89" s="53"/>
    </row>
    <row r="90" spans="1:4" x14ac:dyDescent="0.3">
      <c r="A90" s="36" t="s">
        <v>56</v>
      </c>
      <c r="B90" s="21" t="s">
        <v>19</v>
      </c>
      <c r="C90" s="200"/>
      <c r="D90" s="44"/>
    </row>
    <row r="91" spans="1:4" x14ac:dyDescent="0.3">
      <c r="A91" s="36"/>
      <c r="B91" s="21"/>
      <c r="C91" s="9"/>
      <c r="D91" s="46"/>
    </row>
    <row r="92" spans="1:4" x14ac:dyDescent="0.3">
      <c r="A92" s="36" t="s">
        <v>57</v>
      </c>
      <c r="B92" s="21" t="s">
        <v>20</v>
      </c>
      <c r="C92" s="200" t="s">
        <v>76</v>
      </c>
      <c r="D92" s="44">
        <f>IF(C92="Yes", 6000, 0)</f>
        <v>0</v>
      </c>
    </row>
    <row r="93" spans="1:4" x14ac:dyDescent="0.3">
      <c r="A93" s="36"/>
      <c r="B93" s="21"/>
      <c r="C93" s="9"/>
      <c r="D93" s="46"/>
    </row>
    <row r="94" spans="1:4" x14ac:dyDescent="0.3">
      <c r="A94" s="36" t="s">
        <v>58</v>
      </c>
      <c r="B94" s="23" t="s">
        <v>31</v>
      </c>
      <c r="C94" s="202" t="s">
        <v>76</v>
      </c>
      <c r="D94" s="78">
        <f>IF(C94="Yes", 3500,0)</f>
        <v>0</v>
      </c>
    </row>
    <row r="95" spans="1:4" x14ac:dyDescent="0.3">
      <c r="A95" s="36"/>
      <c r="B95" s="23"/>
      <c r="C95" s="89"/>
      <c r="D95" s="90"/>
    </row>
    <row r="96" spans="1:4" x14ac:dyDescent="0.3">
      <c r="A96" s="36" t="s">
        <v>59</v>
      </c>
      <c r="B96" s="23" t="s">
        <v>107</v>
      </c>
      <c r="C96" s="10">
        <v>0</v>
      </c>
      <c r="D96" s="78">
        <f>6000*C96</f>
        <v>0</v>
      </c>
    </row>
    <row r="97" spans="1:4" x14ac:dyDescent="0.3">
      <c r="A97" s="36"/>
      <c r="B97" s="23"/>
      <c r="C97" s="89"/>
      <c r="D97" s="90"/>
    </row>
    <row r="98" spans="1:4" ht="81" x14ac:dyDescent="0.3">
      <c r="A98" s="59" t="s">
        <v>60</v>
      </c>
      <c r="B98" s="97" t="s">
        <v>47</v>
      </c>
      <c r="C98" s="11">
        <v>0</v>
      </c>
      <c r="D98" s="98">
        <f>C98*8000</f>
        <v>0</v>
      </c>
    </row>
    <row r="99" spans="1:4" x14ac:dyDescent="0.3">
      <c r="A99" s="62"/>
      <c r="B99" s="99"/>
      <c r="C99" s="100"/>
      <c r="D99" s="101"/>
    </row>
    <row r="100" spans="1:4" ht="35.25" customHeight="1" x14ac:dyDescent="0.3">
      <c r="A100" s="150"/>
      <c r="B100" s="151" t="s">
        <v>79</v>
      </c>
      <c r="C100" s="152"/>
      <c r="D100" s="153">
        <f>SUM(D90,D92,D94,D96,D98)</f>
        <v>0</v>
      </c>
    </row>
    <row r="101" spans="1:4" s="16" customFormat="1" x14ac:dyDescent="0.3">
      <c r="A101" s="102"/>
      <c r="B101" s="103"/>
      <c r="C101" s="104"/>
      <c r="D101" s="105"/>
    </row>
    <row r="103" spans="1:4" ht="41.25" customHeight="1" x14ac:dyDescent="0.3">
      <c r="A103" s="35"/>
      <c r="B103" s="154" t="s">
        <v>84</v>
      </c>
      <c r="C103" s="43"/>
      <c r="D103" s="43">
        <f>SUM(D16,D20,D32,D46,D67,D86,D100)</f>
        <v>9000</v>
      </c>
    </row>
    <row r="104" spans="1:4" ht="47.25" customHeight="1" x14ac:dyDescent="0.3">
      <c r="D104" s="189"/>
    </row>
  </sheetData>
  <sheetProtection sheet="1" objects="1" scenarios="1" selectLockedCells="1"/>
  <mergeCells count="2">
    <mergeCell ref="D73:D77"/>
    <mergeCell ref="A1:B1"/>
  </mergeCells>
  <dataValidations xWindow="616" yWindow="461" count="36">
    <dataValidation type="list" allowBlank="1" showInputMessage="1" showErrorMessage="1" errorTitle="Error" error="Please select based on the list  given." promptTitle="Parental Carer Living Fees" prompt="The tax relief for this selection is maximum RM 3000 for both _x000a_parent or RM 1500 for either parent (One mother or One father)._x000a_* Select No if you not going to claim this.  " sqref="C11" xr:uid="{47534208-667C-40F9-A951-650EB6C68226}">
      <formula1>"No,Both Parent, One Parent"</formula1>
    </dataValidation>
    <dataValidation type="decimal" allowBlank="1" showInputMessage="1" showErrorMessage="1" errorTitle="Invalid Input" error="Please only input numerical value and must not exceed RM 4000. " promptTitle="Payment for husband / wife" prompt="Payment for husband / wife / payment of alimony to former wife are restricted at not more than RM 4000. " sqref="C14:C15" xr:uid="{346071EF-7D0C-45A2-A34F-CB44906B12D7}">
      <formula1>0</formula1>
      <formula2>4000</formula2>
    </dataValidation>
    <dataValidation type="decimal" allowBlank="1" showInputMessage="1" showErrorMessage="1" errorTitle="Invalid Input" error="Please only input NUMERICAL VALUE and MUST NOT MORE THAN RM 7000_x000a_" promptTitle="Education Fee For Self" prompt="Claimed value up to RM 7000" sqref="C20" xr:uid="{391FF979-2036-4C10-ABF2-83EBAD034378}">
      <formula1>0</formula1>
      <formula2>7000</formula2>
    </dataValidation>
    <dataValidation allowBlank="1" showInputMessage="1" showErrorMessage="1" errorTitle="Total medical cost exceeds" error="The  total medical already exceed the restriction amount (RM 6000)" promptTitle="Total Medical Cost" prompt="Total medical cost are restricted up to RM 6000." sqref="D32:D33" xr:uid="{2AE6BD42-86A4-4771-A9EC-72033E4DBE5E}"/>
    <dataValidation type="custom" allowBlank="1" showInputMessage="1" showErrorMessage="1" errorTitle="Error" error="i. Input MUST BE NUMERICAL _x000a__x000a_ii. Amount MUST NOT MORE THAN RM 6000_x000a__x000a_iii. Total Cost MUST NOT EXCEED RM 6000_x000a_" promptTitle="Medical Cost for serious disease" prompt="Enter medical cost for serious diseases._x000a_Total medical cost not more than RM 6000." sqref="C26" xr:uid="{352BE7C5-D674-41DA-9954-FD3A38989F29}">
      <formula1>AND(SUM(C26,C28,C30)&lt;= 6000, C26&lt;=6000)</formula1>
    </dataValidation>
    <dataValidation type="decimal" allowBlank="1" showInputMessage="1" showErrorMessage="1" errorTitle="Invalid Input" error="i) Input MUST BE NUMERICAL_x000a__x000a_ii) Input MUST NOT BE MORE THAN RM 2500_x000a_" promptTitle="Lifestyle A" prompt="Enter the claim amount that used to purchase on books , sport equipment, computer, smartphone, tablet, internet monthly bil that is under your own name._x000a_The restricted amount max is RM 2500." sqref="C36" xr:uid="{7FA05720-F242-4CC9-9F8C-036D7BDB3607}">
      <formula1>0</formula1>
      <formula2>2500</formula2>
    </dataValidation>
    <dataValidation type="decimal" allowBlank="1" showInputMessage="1" showErrorMessage="1" errorTitle="Error" error="i) Input MUST BE NUMERICAL_x000a__x000a_ii) Input MUST NOT BE MORE THAN RM 2500_x000a_" promptTitle="Lifestlye B" prompt="Additional deduction for purchase made within the period 1st June 2020 tp 1st December 2020._x000a_Restricted up to RM 2500. " sqref="C42" xr:uid="{4D7F4D7A-6DCE-4A25-AAFF-16B7623E84BD}">
      <formula1>0</formula1>
      <formula2>2500</formula2>
    </dataValidation>
    <dataValidation type="decimal" allowBlank="1" showInputMessage="1" showErrorMessage="1" errorTitle="Invalid Input" error="i) Input MUST BE NUMERICAL_x000a__x000a_or_x000a__x000a_ii) Input MUST NOT BE MORE THAN RM 1000_x000a_" prompt="Tax relief is restricted up to RM 1000._x000a_" sqref="C45:C47" xr:uid="{56813799-F323-4E7F-8CD7-C4EF86467A96}">
      <formula1>0</formula1>
      <formula2>1000</formula2>
    </dataValidation>
    <dataValidation type="decimal" allowBlank="1" showInputMessage="1" showErrorMessage="1" errorTitle="Invalid Input" error="i) Input MUST BE NUMERICAL_x000a__x000a_or_x000a__x000a_ii) Input MUST NOT BE MORE THAN RM 1000_x000a_" prompt="Purchase of breastfeeding equipment and deduction restricted up to RM 1000" sqref="D50" xr:uid="{5363E3D2-31F0-4EAC-A0F5-FC93D8B5B49F}">
      <formula1>0</formula1>
      <formula2>1000</formula2>
    </dataValidation>
    <dataValidation type="decimal" allowBlank="1" showInputMessage="1" showErrorMessage="1" errorTitle="Error" error="i) Input MUST BE NUMERICAL_x000a__x000a_ii) Cost should NOT MORE THAN RM 3000" promptTitle="Child care fees" prompt="For purchase on child care and kindergarten fees._x000a_This tax relief deduction is restricted up to RM 3000" sqref="C53" xr:uid="{30170FEF-0D85-459F-B5CE-EE7D6BD380F0}">
      <formula1>0</formula1>
      <formula2>3000</formula2>
    </dataValidation>
    <dataValidation type="decimal" allowBlank="1" showInputMessage="1" showErrorMessage="1" errorTitle="Error" error="i) Input MUST BE NUMERICAL_x000a__x000a_ii) Input MUST NOT MORE THAN RM 8000" promptTitle="Total SSPN Savings" prompt="Maximum total sspn is RM 8000" sqref="C55" xr:uid="{8E0DCC57-1090-499B-B2CC-2BCD79DE7511}">
      <formula1>0</formula1>
      <formula2>8000</formula2>
    </dataValidation>
    <dataValidation type="whole" allowBlank="1" showInputMessage="1" showErrorMessage="1" errorTitle="Error" error="Input MUST BE NUMERICAL" promptTitle="Number of children age below 18" prompt="Enter the number of unmarried children below the age of 18._x000a_Tax relief for each children is RM 2000. " sqref="C58" xr:uid="{9CA8A9DB-2A66-4D9D-96AC-F2D8F5FD4A5C}">
      <formula1>0</formula1>
      <formula2>20</formula2>
    </dataValidation>
    <dataValidation type="whole" allowBlank="1" showInputMessage="1" showErrorMessage="1" errorTitle="Error" error="Input MUST BE NUMERICAL" promptTitle="Number of child(18+)" prompt="Enter the number of unmarried children (18+) who pursing the full time high education._x000a_Tax relief for each children is RM 2000. " sqref="C60" xr:uid="{81BB7051-591C-4541-9AED-07E1127E7189}">
      <formula1>0</formula1>
      <formula2>20</formula2>
    </dataValidation>
    <dataValidation type="whole" allowBlank="1" showInputMessage="1" showErrorMessage="1" errorTitle="Error" error="Input MUST BE NUMERICAL" promptTitle="Number of children (18+)" prompt="Enter number of unmarried children (18+) in tertiary education _x000a_Tax relief for each children is RM 8000. " sqref="C62" xr:uid="{40718517-D95E-4AE8-8E9E-9CBF8E5B0274}">
      <formula1>0</formula1>
      <formula2>20</formula2>
    </dataValidation>
    <dataValidation allowBlank="1" showInputMessage="1" showErrorMessage="1" promptTitle="Total Life insurance tax relief" prompt="Total amount of life  insurance and EPF. The total amount restricted up to RM 7000." sqref="D72 D78" xr:uid="{23FBD8F0-19DD-4E9F-A90C-F3A6B0F68ED8}"/>
    <dataValidation type="custom" allowBlank="1" showInputMessage="1" showErrorMessage="1" errorTitle="Invalid Input" error="i) Input MUST BE NUMBER_x000a__x000a_AND_x000a__x000a_ii) Input MUST NOT MORE THAN RM 7000_x000a__x000a_AND _x000a__x000a_iii) Total insurance MUST NOT MORE THAN 7000_x000a__x000a_" promptTitle="Life insurance premium" prompt="Life  insurance in pensionable public servan category and amount relief is restricted up to RM 7000." sqref="C72" xr:uid="{677FEA3C-2793-4D2F-A8EF-C76BCED21BE1}">
      <formula1>AND(C72&lt;= 7000, (C75+C72+C77) &lt;= 7000)</formula1>
    </dataValidation>
    <dataValidation type="custom" allowBlank="1" showInputMessage="1" showErrorMessage="1" errorTitle="Error" error="i) Input MUST BE NUMBER_x000a__x000a_ii) Input MUST NOT MORE THAN RM 4000_x000a__x000a_iii) Total insurance MUST NOT MORE THAN 7000_x000a__x000a_" promptTitle="EPF" prompt="Tax relief amount not more than RM 4000 " sqref="C77" xr:uid="{E545E502-AEA0-4E2B-902E-2D27222D77C3}">
      <formula1>AND(SUM(C73,C75,C77)&lt;=7000, C77&lt;=4000)</formula1>
    </dataValidation>
    <dataValidation type="decimal" allowBlank="1" showInputMessage="1" showErrorMessage="1" promptTitle="Total Life insurance tax relief" prompt="Total amount of life  insurance and EPF. The total amount restricted up to RM 7000." sqref="D73:D77" xr:uid="{C58C31CE-7608-483A-A978-4BF7C2C48BDA}">
      <formula1>0</formula1>
      <formula2>7000</formula2>
    </dataValidation>
    <dataValidation type="custom" allowBlank="1" showInputMessage="1" showErrorMessage="1" errorTitle="Error" error="i. Input MUST BE NUMERICAL _x000a__x000a_ii. Amount MUST NOT MORE THAN RM 6000_x000a__x000a_iii. Total Cost MUST NOT EXCEED RM 6000_x000a_" promptTitle="Cost For Fertility Treatment" prompt="Enter medical cost for fertility treatment._x000a_Total medical cost not more than RM 6000." sqref="C28" xr:uid="{6B717AB2-D30B-4AA8-A26E-9375303F3C59}">
      <formula1>AND(SUM(C26,C28,C30)&lt;= 6000, C28&lt;=6000)</formula1>
    </dataValidation>
    <dataValidation type="custom" allowBlank="1" showInputMessage="1" showErrorMessage="1" errorTitle="Error" error="i. Input MUST BE NUMERICAL _x000a__x000a_ii. Amount MUST NOT MORE THAN RM 600_x000a__x000a_iii. Total Cost MUST NOT EXCEED RM 6000_x000a_" promptTitle="Cost for medical examination" prompt="Enter cost spend for medical examination for self, spouse or child and the amount claimed is up to RM 5000._x000a_* Total medical cost must not more than RM 6000" sqref="C31" xr:uid="{99A8AD85-E1A2-49AE-8F3B-26F3095A9B4E}">
      <formula1>AND(SUM(C27,C29,C31)&lt;= 6000, C31&lt;=6000)</formula1>
    </dataValidation>
    <dataValidation type="custom" allowBlank="1" showInputMessage="1" showErrorMessage="1" errorTitle="Error" error="i) Amount MUST BE NUMERICAL_x000a_ii) Amount MUST NOT ORE THAN RM 7000" promptTitle="Life insurance (Public Servant)" prompt="Restricted up to RM 7000 for life insurance in PUBLIC SERVANT." sqref="C73" xr:uid="{F3536BB4-E9FB-46D8-B19D-DB95459FBE3F}">
      <formula1>AND(SUM(C73,C75,C77)&lt;=7000, C73&lt;=7000)</formula1>
    </dataValidation>
    <dataValidation type="custom" allowBlank="1" showInputMessage="1" showErrorMessage="1" errorTitle="Error" error="i) Amount MUST  BE NUMERICAL_x000a__x000a_ii) Amount MUST NOT EXCEED RM 3000_x000a__x000a_iii) Total life insurance claimed MUST NOT MORE THAN RM 7000" promptTitle="Life Insurance (Non-Public)" prompt="Up to RM 3000 for Life insurance in NON-PUBLIC SERVANT" sqref="C75" xr:uid="{66B3EDEF-FB4B-4D31-9A3C-E57D613141E8}">
      <formula1>AND(SUM(C73,C75,C77)&lt;=7000, C75&lt;=3000)</formula1>
    </dataValidation>
    <dataValidation type="decimal" allowBlank="1" showInputMessage="1" showErrorMessage="1" errorTitle="Error" error="i) Amount MUST BE NUMBER_x000a__x000a_ii) Amount MUST NOT EXCEED RM 3000" promptTitle="Insurance" prompt="Education and medical insuance up to RM 3000." sqref="C82" xr:uid="{1492E0AB-8106-4DB2-BC86-6D80A382F9C2}">
      <formula1>0</formula1>
      <formula2>3000</formula2>
    </dataValidation>
    <dataValidation type="decimal" allowBlank="1" showInputMessage="1" showErrorMessage="1" sqref="C85:C87" xr:uid="{1999FE37-FD6C-48AE-BF48-3CB68F0B6CBA}">
      <formula1>0</formula1>
      <formula2>250</formula2>
    </dataValidation>
    <dataValidation type="decimal" allowBlank="1" showInputMessage="1" showErrorMessage="1" errorTitle="Error" error="i) Input  MUST BE NUMBER_x000a__x000a_ii) Input MUST NOT MORE THAN RM 6000" promptTitle="Cost on disabled equipment" prompt="Enter amount used to purchase on basic supporting equipment for disabled self, spouse, child or parent. _x000a_Tax relief for this is restricted up to RM 6000." sqref="C90" xr:uid="{16C884D3-5A1C-4712-AF6B-6B5317127C89}">
      <formula1>0</formula1>
      <formula2>6000</formula2>
    </dataValidation>
    <dataValidation type="list" allowBlank="1" showInputMessage="1" showErrorMessage="1" errorTitle="Error" error="Please only select from the drop-down list given. " promptTitle="Disabled Individual" prompt="Select yes if you have any disabilities for tax relief of RM 6000." sqref="C92" xr:uid="{D4B43C0C-A460-40B9-9A33-51C9B1568C99}">
      <formula1>"Yes, No"</formula1>
    </dataValidation>
    <dataValidation type="list" allowBlank="1" showInputMessage="1" showErrorMessage="1" errorTitle="Error" error="Please only select from the list given in the drop-down list. " promptTitle="Spouse Disabled" prompt="Select Yes if your husband or wife is disabled individual for tax relief of RM 3500. " sqref="C94" xr:uid="{319BA5FF-5B2B-430B-8B83-C7495DF68093}">
      <formula1>"Yes, No"</formula1>
    </dataValidation>
    <dataValidation type="list" allowBlank="1" showInputMessage="1" showErrorMessage="1" errorTitle="Error" error="Please select from the list given in the drop-down list. " promptTitle="Disabled Child" prompt="Select number of children that have any disabilities and will have tax relief of RM6000 for each disabled children. _x000a_* Can ignore this part if no disabled children_x000a_" sqref="C96" xr:uid="{7389978E-6705-439B-A51A-0A0C5A8AF332}">
      <formula1>"'0,1,2,3,4,5,6,7,8,9,10,11,12"</formula1>
    </dataValidation>
    <dataValidation type="list" allowBlank="1" showInputMessage="1" showErrorMessage="1" promptTitle="Extra tax relief" prompt="Select number of disabled children(18+) in tertiary education. Each of them will have extra tax relief of RM 8000. _x000a_* Can ignore this part _x000a_" sqref="C98 C100:C101" xr:uid="{3D72273B-474F-4829-BC93-169610AA7B05}">
      <formula1>"'0,1,2,3,4,5,6,7,8,9,10,11,12"</formula1>
    </dataValidation>
    <dataValidation type="whole" allowBlank="1" showInputMessage="1" showErrorMessage="1" errorTitle="Error" error="Please only enter integer number _x000a_* If you are the only one who pay for this deduction, enter 1" promptTitle="Number of individual" prompt="Select number of individual who claim for this deduction. _x000a_The tax relief will be equally divied based on the number of individual. _x000a_* If only you to pay this claim, PLEASE ENTER 1." sqref="C12" xr:uid="{E27D015F-25C4-4FEB-ADE0-F12A6FB4CED2}">
      <formula1>1</formula1>
      <formula2>20</formula2>
    </dataValidation>
    <dataValidation type="decimal" allowBlank="1" showInputMessage="1" showErrorMessage="1" errorTitle="Error" error="i) Only allow to enter NUMBER_x000a__x000a_ii) Amount MUST NOT MORE THAN RM 5000" promptTitle="Parental Medical Expenses" prompt="Restricted up to RM 5000" sqref="C6" xr:uid="{CDA4FB8F-DA42-4C79-A79B-8395BDE0BFD3}">
      <formula1>0</formula1>
      <formula2>5000</formula2>
    </dataValidation>
    <dataValidation type="decimal" allowBlank="1" showInputMessage="1" showErrorMessage="1" errorTitle="Error" error="i) Input MUST BE NUMERICAL_x000a__x000a_ii) Input MUST NOT BE MORE THAN RM 1000_x000a_" promptTitle="Purchase breastfeeding equipment" prompt="For purchase of breastfeeding equipment and deduction restricted up to RM 1000" sqref="C50" xr:uid="{6CFCA3EA-2249-4EE6-853B-F4DABA5D54FC}">
      <formula1>0</formula1>
      <formula2>1000</formula2>
    </dataValidation>
    <dataValidation type="decimal" allowBlank="1" showInputMessage="1" showErrorMessage="1" errorTitle="Error" error="i) Input MUST BE NUMERICAL_x000a__x000a_ii) Input MUST NOT BE MORE THAN RM 1000_x000a_" prompt="Tax relief is restricted up to RM 1000._x000a_" sqref="C44" xr:uid="{629A3EA6-B88B-44EC-8D19-ED36771B3CF0}">
      <formula1>0</formula1>
      <formula2>1000</formula2>
    </dataValidation>
    <dataValidation type="decimal" allowBlank="1" showInputMessage="1" showErrorMessage="1" errorTitle="Error" error="i) Amount MUST BE NUMBER_x000a__x000a_ii) Amount MUST NOT EXCEED RM 3000" promptTitle="PRS" prompt="Up to RM 3000" sqref="C80" xr:uid="{057ABB19-293F-436E-996B-2E4C74CBE429}">
      <formula1>0</formula1>
      <formula2>3000</formula2>
    </dataValidation>
    <dataValidation type="decimal" allowBlank="1" showInputMessage="1" showErrorMessage="1" errorTitle="Error" error="i) Amount MUST BE NUMBER_x000a__x000a_ii) Amount MUST NOT EXCEED RM 250" promptTitle="SOCSO" prompt="Up to RM 250." sqref="C84" xr:uid="{8ABE6B3B-21F3-4AFE-99E1-06356141A966}">
      <formula1>0</formula1>
      <formula2>250</formula2>
    </dataValidation>
    <dataValidation type="custom" allowBlank="1" showInputMessage="1" showErrorMessage="1" errorTitle="Error" error="i. Input MUST BE NUMERICAL _x000a__x000a_ii. Amount MUST NOT MORE THAN RM 600_x000a__x000a_iii. Total Cost MUST NOT EXCEED RM 6000_x000a_" promptTitle="Cost for medical examination" prompt="Enter cost spend for medical examination for self, spouse or child and the amount claimed is up to RM 500._x000a_* Total medical cost must not more than RM 6000" sqref="C30" xr:uid="{7974BBDB-C299-4B33-AED8-35EA2B25A6AC}">
      <formula1>AND(SUM(C26,C28,C30)&lt;= 6000, C30&lt;=500)</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7175" r:id="rId4" name="reset3btn">
          <controlPr defaultSize="0" autoLine="0" r:id="rId5">
            <anchor moveWithCells="1">
              <from>
                <xdr:col>2</xdr:col>
                <xdr:colOff>238125</xdr:colOff>
                <xdr:row>103</xdr:row>
                <xdr:rowOff>161925</xdr:rowOff>
              </from>
              <to>
                <xdr:col>2</xdr:col>
                <xdr:colOff>2171700</xdr:colOff>
                <xdr:row>103</xdr:row>
                <xdr:rowOff>514350</xdr:rowOff>
              </to>
            </anchor>
          </controlPr>
        </control>
      </mc:Choice>
      <mc:Fallback>
        <control shapeId="7175" r:id="rId4" name="reset3btn"/>
      </mc:Fallback>
    </mc:AlternateContent>
    <mc:AlternateContent xmlns:mc="http://schemas.openxmlformats.org/markup-compatibility/2006">
      <mc:Choice Requires="x14">
        <control shapeId="7170" r:id="rId6" name="next3btn">
          <controlPr defaultSize="0" autoLine="0" r:id="rId7">
            <anchor moveWithCells="1">
              <from>
                <xdr:col>3</xdr:col>
                <xdr:colOff>47625</xdr:colOff>
                <xdr:row>103</xdr:row>
                <xdr:rowOff>171450</xdr:rowOff>
              </from>
              <to>
                <xdr:col>3</xdr:col>
                <xdr:colOff>2066925</xdr:colOff>
                <xdr:row>103</xdr:row>
                <xdr:rowOff>514350</xdr:rowOff>
              </to>
            </anchor>
          </controlPr>
        </control>
      </mc:Choice>
      <mc:Fallback>
        <control shapeId="7170" r:id="rId6" name="next3btn"/>
      </mc:Fallback>
    </mc:AlternateContent>
    <mc:AlternateContent xmlns:mc="http://schemas.openxmlformats.org/markup-compatibility/2006">
      <mc:Choice Requires="x14">
        <control shapeId="7171" r:id="rId8" name="back3btn">
          <controlPr defaultSize="0" autoLine="0" r:id="rId9">
            <anchor moveWithCells="1">
              <from>
                <xdr:col>1</xdr:col>
                <xdr:colOff>95250</xdr:colOff>
                <xdr:row>103</xdr:row>
                <xdr:rowOff>219075</xdr:rowOff>
              </from>
              <to>
                <xdr:col>1</xdr:col>
                <xdr:colOff>2095500</xdr:colOff>
                <xdr:row>103</xdr:row>
                <xdr:rowOff>542925</xdr:rowOff>
              </to>
            </anchor>
          </controlPr>
        </control>
      </mc:Choice>
      <mc:Fallback>
        <control shapeId="7171" r:id="rId8" name="back3btn"/>
      </mc:Fallback>
    </mc:AlternateContent>
    <mc:AlternateContent xmlns:mc="http://schemas.openxmlformats.org/markup-compatibility/2006">
      <mc:Choice Requires="x14">
        <control shapeId="7172" r:id="rId10" name="cancel3btn">
          <controlPr defaultSize="0" autoLine="0" r:id="rId11">
            <anchor moveWithCells="1">
              <from>
                <xdr:col>4</xdr:col>
                <xdr:colOff>85725</xdr:colOff>
                <xdr:row>103</xdr:row>
                <xdr:rowOff>161925</xdr:rowOff>
              </from>
              <to>
                <xdr:col>4</xdr:col>
                <xdr:colOff>1866900</xdr:colOff>
                <xdr:row>103</xdr:row>
                <xdr:rowOff>495300</xdr:rowOff>
              </to>
            </anchor>
          </controlPr>
        </control>
      </mc:Choice>
      <mc:Fallback>
        <control shapeId="7172" r:id="rId10" name="cancel3bt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E8DF1-D416-4D40-862C-110107C01CD7}">
  <sheetPr codeName="Sheet1"/>
  <dimension ref="A1:AM94"/>
  <sheetViews>
    <sheetView zoomScale="90" zoomScaleNormal="90" zoomScaleSheetLayoutView="50" workbookViewId="0">
      <selection activeCell="D7" sqref="D7"/>
    </sheetView>
  </sheetViews>
  <sheetFormatPr defaultRowHeight="21" x14ac:dyDescent="0.35"/>
  <cols>
    <col min="1" max="1" width="34.42578125" style="5" bestFit="1" customWidth="1"/>
    <col min="2" max="2" width="9.140625" style="5" customWidth="1"/>
    <col min="3" max="3" width="15.140625" style="5" customWidth="1"/>
    <col min="4" max="4" width="28" style="5" customWidth="1"/>
    <col min="5" max="16384" width="9.140625" style="5"/>
  </cols>
  <sheetData>
    <row r="1" spans="1:39" x14ac:dyDescent="0.35">
      <c r="A1" s="168" t="s">
        <v>24</v>
      </c>
      <c r="B1" s="169"/>
      <c r="C1" s="170"/>
      <c r="D1" s="171"/>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row>
    <row r="2" spans="1:39" x14ac:dyDescent="0.35">
      <c r="A2" s="172" t="s">
        <v>25</v>
      </c>
      <c r="B2" s="172"/>
      <c r="C2" s="173"/>
      <c r="D2" s="174">
        <f>'Statement Income'!C16</f>
        <v>0</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row>
    <row r="3" spans="1:39" x14ac:dyDescent="0.35">
      <c r="A3" s="175" t="s">
        <v>26</v>
      </c>
      <c r="B3" s="175"/>
      <c r="C3" s="176"/>
      <c r="D3" s="177">
        <f>TaxRelief!D103</f>
        <v>9000</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39" x14ac:dyDescent="0.35">
      <c r="A4" s="172"/>
      <c r="B4" s="172"/>
      <c r="C4" s="173"/>
      <c r="D4" s="178"/>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row>
    <row r="5" spans="1:39" ht="21.75" thickBot="1" x14ac:dyDescent="0.4">
      <c r="A5" s="179" t="s">
        <v>27</v>
      </c>
      <c r="B5" s="175"/>
      <c r="C5" s="180"/>
      <c r="D5" s="181">
        <f>IF((D2-D3)&lt;0,0,D2-D3)</f>
        <v>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row>
    <row r="6" spans="1:39" ht="21.75" thickTop="1" x14ac:dyDescent="0.35">
      <c r="A6" s="182"/>
      <c r="B6" s="183"/>
      <c r="C6" s="184"/>
      <c r="D6" s="185"/>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row>
    <row r="7" spans="1:39" ht="21.75" thickBot="1" x14ac:dyDescent="0.4">
      <c r="A7" s="179" t="s">
        <v>28</v>
      </c>
      <c r="B7" s="175"/>
      <c r="C7" s="176"/>
      <c r="D7" s="186" cm="1">
        <f t="array" ref="D7">taxRate(D5)</f>
        <v>0</v>
      </c>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row>
    <row r="8" spans="1:39" ht="36.75" customHeight="1" x14ac:dyDescent="0.35">
      <c r="A8" s="109"/>
      <c r="B8" s="109"/>
      <c r="C8" s="109"/>
      <c r="D8" s="109"/>
      <c r="E8" s="187" t="s">
        <v>104</v>
      </c>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row>
    <row r="9" spans="1:39" ht="27" customHeight="1" x14ac:dyDescent="0.35">
      <c r="A9" s="109"/>
      <c r="B9" s="109"/>
      <c r="C9" s="109"/>
      <c r="D9" s="109"/>
      <c r="E9" s="109"/>
      <c r="F9" s="109"/>
      <c r="G9" s="109"/>
      <c r="H9" s="109"/>
      <c r="I9" s="109"/>
      <c r="J9" s="109"/>
      <c r="K9" s="109"/>
      <c r="L9" s="109"/>
      <c r="M9" s="109"/>
      <c r="N9" s="109"/>
      <c r="O9" s="109"/>
      <c r="P9" s="109"/>
      <c r="Q9" s="109"/>
      <c r="R9" s="109"/>
      <c r="S9" s="109"/>
      <c r="T9" s="109"/>
      <c r="U9" s="109"/>
      <c r="V9" s="109"/>
      <c r="W9" s="109"/>
      <c r="X9" s="109"/>
      <c r="Y9" s="109"/>
      <c r="Z9" s="109"/>
      <c r="AA9" s="109"/>
      <c r="AB9" s="109"/>
      <c r="AC9" s="109"/>
      <c r="AD9" s="109"/>
      <c r="AE9" s="109"/>
      <c r="AF9" s="109"/>
      <c r="AG9" s="109"/>
      <c r="AH9" s="109"/>
      <c r="AI9" s="109"/>
      <c r="AJ9" s="109"/>
      <c r="AK9" s="109"/>
      <c r="AL9" s="109"/>
      <c r="AM9" s="109"/>
    </row>
    <row r="10" spans="1:39" x14ac:dyDescent="0.35">
      <c r="A10" s="109"/>
      <c r="B10" s="109"/>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row>
    <row r="11" spans="1:39" x14ac:dyDescent="0.35">
      <c r="A11" s="109"/>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row>
    <row r="12" spans="1:3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row>
    <row r="13" spans="1:39" x14ac:dyDescent="0.35">
      <c r="A13" s="109"/>
      <c r="B13" s="109"/>
      <c r="C13" s="109"/>
      <c r="D13" s="109"/>
      <c r="E13" s="109"/>
      <c r="F13" s="109"/>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row>
    <row r="14" spans="1:3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row>
    <row r="15" spans="1:39" x14ac:dyDescent="0.35">
      <c r="A15" s="109"/>
      <c r="B15" s="109"/>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row>
    <row r="16" spans="1:39" x14ac:dyDescent="0.35">
      <c r="A16" s="109"/>
      <c r="B16" s="109"/>
      <c r="C16" s="109"/>
      <c r="D16" s="109"/>
      <c r="E16" s="109"/>
      <c r="F16" s="109"/>
      <c r="G16" s="109"/>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row>
    <row r="17" spans="1:39" x14ac:dyDescent="0.35">
      <c r="A17" s="109"/>
      <c r="B17" s="109"/>
      <c r="C17" s="109"/>
      <c r="D17" s="109"/>
      <c r="E17" s="109"/>
      <c r="F17" s="109"/>
      <c r="G17" s="109"/>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row>
    <row r="18" spans="1:39" x14ac:dyDescent="0.35">
      <c r="A18" s="109"/>
      <c r="B18" s="109"/>
      <c r="C18" s="109"/>
      <c r="D18" s="109"/>
      <c r="E18" s="109"/>
      <c r="F18" s="109"/>
      <c r="G18" s="109"/>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row>
    <row r="19" spans="1:39" x14ac:dyDescent="0.35">
      <c r="A19" s="109"/>
      <c r="B19" s="109"/>
      <c r="C19" s="109"/>
      <c r="D19" s="109"/>
      <c r="E19" s="109"/>
      <c r="F19" s="109"/>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row>
    <row r="20" spans="1:39" x14ac:dyDescent="0.35">
      <c r="A20" s="109"/>
      <c r="B20" s="109"/>
      <c r="C20" s="109"/>
      <c r="D20" s="109"/>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row>
    <row r="21" spans="1:39" x14ac:dyDescent="0.35">
      <c r="A21" s="109"/>
      <c r="B21" s="109"/>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row>
    <row r="22" spans="1:39" x14ac:dyDescent="0.35">
      <c r="A22" s="109"/>
      <c r="B22" s="109"/>
      <c r="C22" s="109"/>
      <c r="D22" s="109"/>
      <c r="E22" s="109"/>
      <c r="F22" s="109"/>
      <c r="G22" s="109"/>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row>
    <row r="23" spans="1:39" x14ac:dyDescent="0.35">
      <c r="A23" s="109"/>
      <c r="B23" s="109"/>
      <c r="C23" s="109"/>
      <c r="D23" s="109"/>
      <c r="E23" s="109"/>
      <c r="F23" s="109"/>
      <c r="G23" s="109"/>
      <c r="H23" s="109"/>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row>
    <row r="24" spans="1:39" x14ac:dyDescent="0.35">
      <c r="A24" s="109"/>
      <c r="B24" s="109"/>
      <c r="C24" s="109"/>
      <c r="D24" s="109"/>
      <c r="E24" s="109"/>
      <c r="F24" s="109"/>
      <c r="G24" s="109"/>
      <c r="H24" s="109"/>
      <c r="I24" s="109"/>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row>
    <row r="25" spans="1:39" x14ac:dyDescent="0.35">
      <c r="A25" s="109"/>
      <c r="B25" s="109"/>
      <c r="C25" s="109"/>
      <c r="D25" s="109"/>
      <c r="E25" s="109"/>
      <c r="F25" s="109"/>
      <c r="G25" s="109"/>
      <c r="H25" s="109"/>
      <c r="I25" s="109"/>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row>
    <row r="26" spans="1:39" x14ac:dyDescent="0.35">
      <c r="A26" s="109"/>
      <c r="B26" s="109"/>
      <c r="C26" s="109"/>
      <c r="D26" s="109"/>
      <c r="E26" s="109"/>
      <c r="F26" s="109"/>
      <c r="G26" s="109"/>
      <c r="H26" s="109"/>
      <c r="I26" s="109"/>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row>
    <row r="27" spans="1:39" x14ac:dyDescent="0.35">
      <c r="A27" s="109"/>
      <c r="B27" s="109"/>
      <c r="C27" s="109"/>
      <c r="D27" s="109"/>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row>
    <row r="28" spans="1:39" x14ac:dyDescent="0.35">
      <c r="A28" s="109"/>
      <c r="B28" s="109"/>
      <c r="C28" s="109"/>
      <c r="D28" s="109"/>
      <c r="E28" s="109"/>
      <c r="F28" s="109"/>
      <c r="G28" s="109"/>
      <c r="H28" s="109"/>
      <c r="I28" s="109"/>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row>
    <row r="29" spans="1:39" x14ac:dyDescent="0.35">
      <c r="A29" s="109"/>
      <c r="B29" s="109"/>
      <c r="C29" s="109"/>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row>
    <row r="30" spans="1:39" x14ac:dyDescent="0.35">
      <c r="A30" s="109"/>
      <c r="B30" s="109"/>
      <c r="C30" s="109"/>
      <c r="D30" s="109"/>
      <c r="E30" s="109"/>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row>
    <row r="31" spans="1:39" x14ac:dyDescent="0.35">
      <c r="A31" s="109"/>
      <c r="B31" s="109"/>
      <c r="C31" s="109"/>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row>
    <row r="32" spans="1:39" x14ac:dyDescent="0.35">
      <c r="A32" s="109"/>
      <c r="B32" s="109"/>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row>
    <row r="33" spans="1:39" x14ac:dyDescent="0.35">
      <c r="A33" s="109"/>
      <c r="B33" s="109"/>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row>
    <row r="34" spans="1:39" x14ac:dyDescent="0.35">
      <c r="A34" s="109"/>
      <c r="B34" s="109"/>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row>
    <row r="35" spans="1:39" x14ac:dyDescent="0.35">
      <c r="A35" s="109"/>
      <c r="B35" s="109"/>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row>
    <row r="36" spans="1:39" x14ac:dyDescent="0.35">
      <c r="A36" s="109"/>
      <c r="B36" s="109"/>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row>
    <row r="37" spans="1:39" x14ac:dyDescent="0.35">
      <c r="A37" s="109"/>
      <c r="B37" s="109"/>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row>
    <row r="38" spans="1:39" x14ac:dyDescent="0.35">
      <c r="A38" s="109"/>
      <c r="B38" s="109"/>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row>
    <row r="39" spans="1:39" x14ac:dyDescent="0.35">
      <c r="A39" s="109"/>
      <c r="B39" s="109"/>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row>
    <row r="40" spans="1:39"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row>
    <row r="41" spans="1:39"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row>
    <row r="42" spans="1:39"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row>
    <row r="43" spans="1:39"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row>
    <row r="44" spans="1:39"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row>
    <row r="45" spans="1:39"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row>
    <row r="46" spans="1:39"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row>
    <row r="47" spans="1:39"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row>
    <row r="48" spans="1:39"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row>
    <row r="49" spans="1:39"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row>
    <row r="50" spans="1:39"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row>
    <row r="51" spans="1:39"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row>
    <row r="52" spans="1:39"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row>
    <row r="53" spans="1:39"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row>
    <row r="54" spans="1:39"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row>
    <row r="55" spans="1:39"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row>
    <row r="56" spans="1:39"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row>
    <row r="57" spans="1:39"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row>
    <row r="58" spans="1:39"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row>
    <row r="59" spans="1:39"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row>
    <row r="60" spans="1:39"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row>
    <row r="61" spans="1:39"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row>
    <row r="62" spans="1:39"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row>
    <row r="63" spans="1:39"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row>
    <row r="64" spans="1:39"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row>
    <row r="65" spans="1:39"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row>
    <row r="66" spans="1:39"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row>
    <row r="67" spans="1:39"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row>
    <row r="68" spans="1:39"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row>
    <row r="69" spans="1:39"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row>
    <row r="70" spans="1:39"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row>
    <row r="71" spans="1:39"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row>
    <row r="72" spans="1:39"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row>
    <row r="73" spans="1:39"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row>
    <row r="74" spans="1:39"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row>
    <row r="75" spans="1:39"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row>
    <row r="76" spans="1:39"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row>
    <row r="77" spans="1:39"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row>
    <row r="78" spans="1:39"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row>
    <row r="79" spans="1:39"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row>
    <row r="80" spans="1:39"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row>
    <row r="81" spans="1:39"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row>
    <row r="82" spans="1:39"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row>
    <row r="83" spans="1:39"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row>
    <row r="84" spans="1:39"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row>
    <row r="85" spans="1:39"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row>
    <row r="86" spans="1:39"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row>
    <row r="87" spans="1:39"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row>
    <row r="88" spans="1:39"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row>
    <row r="89" spans="1:39"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row>
    <row r="90" spans="1:39"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row>
    <row r="91" spans="1:39"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row>
    <row r="92" spans="1:39"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row>
    <row r="93" spans="1:39"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row>
    <row r="94" spans="1:39"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row>
  </sheetData>
  <sheetProtection sheet="1" objects="1" scenarios="1" selectLockedCells="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8193" r:id="rId4" name="back4btn">
          <controlPr defaultSize="0" autoLine="0" r:id="rId5">
            <anchor moveWithCells="1">
              <from>
                <xdr:col>0</xdr:col>
                <xdr:colOff>85725</xdr:colOff>
                <xdr:row>7</xdr:row>
                <xdr:rowOff>85725</xdr:rowOff>
              </from>
              <to>
                <xdr:col>0</xdr:col>
                <xdr:colOff>1552575</xdr:colOff>
                <xdr:row>7</xdr:row>
                <xdr:rowOff>400050</xdr:rowOff>
              </to>
            </anchor>
          </controlPr>
        </control>
      </mc:Choice>
      <mc:Fallback>
        <control shapeId="8193" r:id="rId4" name="back4btn"/>
      </mc:Fallback>
    </mc:AlternateContent>
    <mc:AlternateContent xmlns:mc="http://schemas.openxmlformats.org/markup-compatibility/2006">
      <mc:Choice Requires="x14">
        <control shapeId="8195" r:id="rId6" name="donebtn">
          <controlPr defaultSize="0" autoLine="0" r:id="rId7">
            <anchor moveWithCells="1">
              <from>
                <xdr:col>3</xdr:col>
                <xdr:colOff>333375</xdr:colOff>
                <xdr:row>7</xdr:row>
                <xdr:rowOff>66675</xdr:rowOff>
              </from>
              <to>
                <xdr:col>3</xdr:col>
                <xdr:colOff>1800225</xdr:colOff>
                <xdr:row>7</xdr:row>
                <xdr:rowOff>381000</xdr:rowOff>
              </to>
            </anchor>
          </controlPr>
        </control>
      </mc:Choice>
      <mc:Fallback>
        <control shapeId="8195" r:id="rId6" name="done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Personal Information</vt:lpstr>
      <vt:lpstr>Statement Income</vt:lpstr>
      <vt:lpstr>TaxRelief</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2021-08-26T05:43:23Z</dcterms:created>
  <dcterms:modified xsi:type="dcterms:W3CDTF">2021-09-04T10:26:39Z</dcterms:modified>
</cp:coreProperties>
</file>